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Administrator\Desktop\LuxDevHq\"/>
    </mc:Choice>
  </mc:AlternateContent>
  <xr:revisionPtr revIDLastSave="0" documentId="13_ncr:1_{3534296D-63E8-426D-B780-DA201C69051E}" xr6:coauthVersionLast="47" xr6:coauthVersionMax="47" xr10:uidLastSave="{00000000-0000-0000-0000-000000000000}"/>
  <bookViews>
    <workbookView xWindow="-120" yWindow="-120" windowWidth="20730" windowHeight="11040" xr2:uid="{00000000-000D-0000-FFFF-FFFF00000000}"/>
  </bookViews>
  <sheets>
    <sheet name="Excel_jumia" sheetId="1" r:id="rId1"/>
    <sheet name="Descriptive Analysis" sheetId="2" r:id="rId2"/>
    <sheet name="Trend and Relationship Analysis" sheetId="4" r:id="rId3"/>
    <sheet name="Product Performance Analysis" sheetId="5" r:id="rId4"/>
    <sheet name="Dashboard" sheetId="15" r:id="rId5"/>
  </sheets>
  <definedNames>
    <definedName name="_xlnm._FilterDatabase" localSheetId="1" hidden="1">'Descriptive Analysis'!$A$5:$B$115</definedName>
    <definedName name="_xlnm._FilterDatabase" localSheetId="0" hidden="1">Excel_jumia!$A$1:$I$110</definedName>
    <definedName name="_xlnm._FilterDatabase" localSheetId="3" hidden="1">'Product Performance Analysis'!$A$115:$C$225</definedName>
    <definedName name="Slicer_Discount_Category">#N/A</definedName>
    <definedName name="Slicer_Rating_Category">#N/A</definedName>
  </definedNames>
  <calcPr calcId="191029"/>
  <pivotCaches>
    <pivotCache cacheId="2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6" i="4" l="1" a="1"/>
  <c r="D116" i="4" s="1"/>
  <c r="J9" i="15" a="1"/>
  <c r="J9" i="15" s="1"/>
  <c r="G9" i="15" a="1"/>
  <c r="G9" i="15" s="1"/>
  <c r="D9" i="15" a="1"/>
  <c r="D9" i="15" s="1"/>
  <c r="D3" i="4" a="1"/>
  <c r="D3" i="4" s="1"/>
  <c r="I8" i="1" a="1"/>
  <c r="I8" i="1" s="1"/>
  <c r="I43" i="1" a="1"/>
  <c r="I43" i="1" s="1"/>
  <c r="I51" i="1" a="1"/>
  <c r="I51" i="1" s="1"/>
  <c r="I28" i="1" a="1"/>
  <c r="I28" i="1" s="1"/>
  <c r="I15" i="1" a="1"/>
  <c r="I15" i="1" s="1"/>
  <c r="I45" i="1" a="1"/>
  <c r="I45" i="1" s="1"/>
  <c r="I57" i="1" a="1"/>
  <c r="I57" i="1" s="1"/>
  <c r="I9" i="1" a="1"/>
  <c r="I9" i="1" s="1"/>
  <c r="I16" i="1" a="1"/>
  <c r="I16" i="1" s="1"/>
  <c r="I17" i="1" a="1"/>
  <c r="I17" i="1" s="1"/>
  <c r="I36" i="1" a="1"/>
  <c r="I36" i="1" s="1"/>
  <c r="I54" i="1" a="1"/>
  <c r="I54" i="1" s="1"/>
  <c r="I37" i="1" a="1"/>
  <c r="I37" i="1" s="1"/>
  <c r="I22" i="1" a="1"/>
  <c r="I22" i="1" s="1"/>
  <c r="I32" i="1" a="1"/>
  <c r="I32" i="1" s="1"/>
  <c r="I10" i="1" a="1"/>
  <c r="I10" i="1" s="1"/>
  <c r="I11" i="1" a="1"/>
  <c r="I11" i="1" s="1"/>
  <c r="I14" i="1" a="1"/>
  <c r="I14" i="1" s="1"/>
  <c r="I18" i="1" a="1"/>
  <c r="I18" i="1" s="1"/>
  <c r="I55" i="1" a="1"/>
  <c r="I55" i="1" s="1"/>
  <c r="I40" i="1" a="1"/>
  <c r="I40" i="1" s="1"/>
  <c r="I59" i="1" a="1"/>
  <c r="I59" i="1" s="1"/>
  <c r="I23" i="1" a="1"/>
  <c r="I23" i="1" s="1"/>
  <c r="I44" i="1" a="1"/>
  <c r="I44" i="1" s="1"/>
  <c r="I29" i="1" a="1"/>
  <c r="I29" i="1" s="1"/>
  <c r="I56" i="1" a="1"/>
  <c r="I56" i="1" s="1"/>
  <c r="I38" i="1" a="1"/>
  <c r="I38" i="1" s="1"/>
  <c r="I41" i="1" a="1"/>
  <c r="I41" i="1" s="1"/>
  <c r="I49" i="1" a="1"/>
  <c r="I49" i="1" s="1"/>
  <c r="I60" i="1" a="1"/>
  <c r="I60" i="1" s="1"/>
  <c r="I33" i="1" a="1"/>
  <c r="I33" i="1" s="1"/>
  <c r="I39" i="1" a="1"/>
  <c r="I39" i="1" s="1"/>
  <c r="I34" i="1" a="1"/>
  <c r="I34" i="1" s="1"/>
  <c r="I50" i="1" a="1"/>
  <c r="I50" i="1" s="1"/>
  <c r="I52" i="1" a="1"/>
  <c r="I52" i="1" s="1"/>
  <c r="I2" i="1" a="1"/>
  <c r="I2" i="1" s="1"/>
  <c r="I12" i="1" a="1"/>
  <c r="I12" i="1" s="1"/>
  <c r="I53" i="1" a="1"/>
  <c r="I53" i="1" s="1"/>
  <c r="I13" i="1" a="1"/>
  <c r="I13"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24" i="1" a="1"/>
  <c r="I24" i="1" s="1"/>
  <c r="I35" i="1" a="1"/>
  <c r="I35" i="1" s="1"/>
  <c r="I42" i="1" a="1"/>
  <c r="I42" i="1" s="1"/>
  <c r="I58" i="1" a="1"/>
  <c r="I58" i="1" s="1"/>
  <c r="I46" i="1" a="1"/>
  <c r="I46" i="1" s="1"/>
  <c r="I47" i="1" a="1"/>
  <c r="I47" i="1" s="1"/>
  <c r="I25" i="1" a="1"/>
  <c r="I25" i="1" s="1"/>
  <c r="I30" i="1" a="1"/>
  <c r="I30" i="1" s="1"/>
  <c r="I19" i="1" a="1"/>
  <c r="I19" i="1" s="1"/>
  <c r="I48" i="1" a="1"/>
  <c r="I48" i="1" s="1"/>
  <c r="I20" i="1" a="1"/>
  <c r="I20" i="1" s="1"/>
  <c r="I26" i="1" a="1"/>
  <c r="I26" i="1" s="1"/>
  <c r="I21" i="1" a="1"/>
  <c r="I21" i="1" s="1"/>
  <c r="I27" i="1" a="1"/>
  <c r="I27" i="1" s="1"/>
  <c r="I31" i="1" a="1"/>
  <c r="I31" i="1" s="1"/>
  <c r="I80" i="1" a="1"/>
  <c r="I80" i="1" s="1"/>
  <c r="I81" i="1" a="1"/>
  <c r="I81" i="1" s="1"/>
  <c r="I82" i="1" a="1"/>
  <c r="I82" i="1" s="1"/>
  <c r="I83" i="1" a="1"/>
  <c r="I83" i="1" s="1"/>
  <c r="I3" i="1" a="1"/>
  <c r="I3" i="1" s="1"/>
  <c r="I4" i="1" a="1"/>
  <c r="I4" i="1" s="1"/>
  <c r="I84" i="1" a="1"/>
  <c r="I84" i="1" s="1"/>
  <c r="I85" i="1" a="1"/>
  <c r="I85" i="1" s="1"/>
  <c r="I5" i="1" a="1"/>
  <c r="I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6" i="1" a="1"/>
  <c r="I6" i="1" s="1"/>
  <c r="I102" i="1" a="1"/>
  <c r="I102" i="1" s="1"/>
  <c r="I103" i="1" a="1"/>
  <c r="I103" i="1" s="1"/>
  <c r="I104" i="1" a="1"/>
  <c r="I104" i="1" s="1"/>
  <c r="I105" i="1" a="1"/>
  <c r="I105" i="1" s="1"/>
  <c r="I106" i="1" a="1"/>
  <c r="I106" i="1" s="1"/>
  <c r="I107" i="1" a="1"/>
  <c r="I107" i="1" s="1"/>
  <c r="I108" i="1" a="1"/>
  <c r="I108" i="1" s="1"/>
  <c r="I109" i="1" a="1"/>
  <c r="I109" i="1" s="1"/>
  <c r="I7" i="1" a="1"/>
  <c r="I7" i="1" s="1"/>
  <c r="I110" i="1" a="1"/>
  <c r="I110" i="1" s="1"/>
  <c r="H8" i="1"/>
  <c r="H43" i="1"/>
  <c r="H51" i="1"/>
  <c r="H28" i="1"/>
  <c r="H15" i="1"/>
  <c r="H45" i="1"/>
  <c r="H57" i="1"/>
  <c r="H9" i="1"/>
  <c r="H16" i="1"/>
  <c r="H17" i="1"/>
  <c r="H36" i="1"/>
  <c r="H54" i="1"/>
  <c r="H37" i="1"/>
  <c r="H22" i="1"/>
  <c r="H32" i="1"/>
  <c r="H10" i="1"/>
  <c r="H11" i="1"/>
  <c r="H14" i="1"/>
  <c r="H18" i="1"/>
  <c r="H55" i="1"/>
  <c r="H40" i="1"/>
  <c r="H59" i="1"/>
  <c r="H23" i="1"/>
  <c r="H44" i="1"/>
  <c r="H29" i="1"/>
  <c r="H56" i="1"/>
  <c r="H38" i="1"/>
  <c r="H41" i="1"/>
  <c r="H49" i="1"/>
  <c r="H60" i="1"/>
  <c r="H33" i="1"/>
  <c r="H39" i="1"/>
  <c r="H34" i="1"/>
  <c r="H50" i="1"/>
  <c r="H52" i="1"/>
  <c r="H2" i="1"/>
  <c r="H12" i="1"/>
  <c r="H53" i="1"/>
  <c r="H13" i="1"/>
  <c r="H61" i="1"/>
  <c r="H62" i="1"/>
  <c r="H63" i="1"/>
  <c r="H64" i="1"/>
  <c r="H65" i="1"/>
  <c r="H66" i="1"/>
  <c r="H67" i="1"/>
  <c r="H68" i="1"/>
  <c r="H69" i="1"/>
  <c r="H70" i="1"/>
  <c r="H71" i="1"/>
  <c r="H72" i="1"/>
  <c r="H73" i="1"/>
  <c r="H74" i="1"/>
  <c r="H75" i="1"/>
  <c r="H76" i="1"/>
  <c r="H77" i="1"/>
  <c r="H78" i="1"/>
  <c r="H79" i="1"/>
  <c r="H24" i="1"/>
  <c r="H35" i="1"/>
  <c r="H42" i="1"/>
  <c r="H58" i="1"/>
  <c r="H46" i="1"/>
  <c r="H47" i="1"/>
  <c r="H25" i="1"/>
  <c r="H30" i="1"/>
  <c r="H19" i="1"/>
  <c r="H48" i="1"/>
  <c r="H20" i="1"/>
  <c r="H26" i="1"/>
  <c r="H21" i="1"/>
  <c r="H27" i="1"/>
  <c r="H31" i="1"/>
  <c r="H80" i="1"/>
  <c r="H81" i="1"/>
  <c r="H82" i="1"/>
  <c r="H83" i="1"/>
  <c r="H3" i="1"/>
  <c r="H4" i="1"/>
  <c r="H84" i="1"/>
  <c r="H85" i="1"/>
  <c r="H5" i="1"/>
  <c r="H86" i="1"/>
  <c r="H87" i="1"/>
  <c r="H88" i="1"/>
  <c r="H89" i="1"/>
  <c r="H90" i="1"/>
  <c r="H91" i="1"/>
  <c r="H92" i="1"/>
  <c r="H93" i="1"/>
  <c r="H94" i="1"/>
  <c r="H95" i="1"/>
  <c r="H96" i="1"/>
  <c r="H97" i="1"/>
  <c r="H98" i="1"/>
  <c r="H99" i="1"/>
  <c r="H100" i="1"/>
  <c r="H101" i="1"/>
  <c r="H6" i="1"/>
  <c r="H102" i="1"/>
  <c r="H103" i="1"/>
  <c r="H104" i="1"/>
  <c r="H105" i="1"/>
  <c r="H106" i="1"/>
  <c r="H107" i="1"/>
  <c r="H108" i="1"/>
  <c r="H109" i="1"/>
  <c r="H7" i="1"/>
  <c r="H11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<sst xmlns="http://schemas.openxmlformats.org/spreadsheetml/2006/main" count="410" uniqueCount="144">
  <si>
    <t>Product</t>
  </si>
  <si>
    <t>Discount</t>
  </si>
  <si>
    <t>Review</t>
  </si>
  <si>
    <t>Ratings</t>
  </si>
  <si>
    <t>Rating Category</t>
  </si>
  <si>
    <t>Discount Category</t>
  </si>
  <si>
    <t>115  Piece Set Of Multifunctional Precision Screwdrivers</t>
  </si>
  <si>
    <t>Excellent</t>
  </si>
  <si>
    <t>Medium Discount</t>
  </si>
  <si>
    <t>Metal Decorative Hooks Key Hangers Entryway Wall Hooks Towel Hooks - Home</t>
  </si>
  <si>
    <t>Average</t>
  </si>
  <si>
    <t>High Discount</t>
  </si>
  <si>
    <t>Portable Mini Cordless Car Vacuum Cleaner - Blue</t>
  </si>
  <si>
    <t>Weighing Scale Digital Bathroom Body Fat Scale USB-Black</t>
  </si>
  <si>
    <t>Portable Home Small Air Humidifier 3-Speed Fan - Green</t>
  </si>
  <si>
    <t>220V 60W Electric Soldering Iron Kits With Tools, Tips, And Multimeter</t>
  </si>
  <si>
    <t>Low Discount</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</si>
  <si>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</si>
  <si>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</si>
  <si>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</si>
  <si>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</si>
  <si>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</si>
  <si>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</si>
  <si>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</si>
  <si>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</si>
  <si>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</si>
  <si>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</si>
  <si>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</si>
  <si>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</si>
  <si>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</si>
  <si>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</si>
  <si>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</si>
  <si>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</si>
  <si>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N/A</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</si>
  <si>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</si>
  <si>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</si>
  <si>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</si>
  <si>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</si>
  <si>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</si>
  <si>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</si>
  <si>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</si>
  <si>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</si>
  <si>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</si>
  <si>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</si>
  <si>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</si>
  <si>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</si>
  <si>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</si>
  <si>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</si>
  <si>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</si>
  <si>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</si>
  <si>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</si>
  <si>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</si>
  <si>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</si>
  <si>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</si>
  <si>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</si>
  <si>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</si>
  <si>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</si>
  <si>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</si>
  <si>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</si>
  <si>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</si>
  <si>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</si>
  <si>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</si>
  <si>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</si>
  <si>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</si>
  <si>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</si>
  <si>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</si>
  <si>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</si>
  <si>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</si>
  <si>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</si>
  <si>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</si>
  <si>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</si>
  <si>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Poor</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</si>
  <si>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</si>
  <si>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</si>
  <si>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</si>
  <si>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</si>
  <si>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</si>
  <si>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</si>
  <si>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</si>
  <si>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</si>
  <si>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</si>
  <si>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</si>
  <si>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</si>
  <si>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</si>
  <si>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</si>
  <si>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</si>
  <si>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</si>
  <si>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</si>
  <si>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</si>
  <si>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</si>
  <si>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</si>
  <si>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</si>
  <si>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</si>
  <si>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</si>
  <si>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</si>
  <si>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</si>
  <si>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</si>
  <si>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</si>
  <si>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</si>
  <si>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</si>
  <si>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</si>
  <si>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</si>
  <si>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</si>
  <si>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</si>
  <si>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</si>
  <si>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</si>
  <si>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</si>
  <si>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</si>
  <si>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</si>
  <si>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</si>
  <si>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</si>
  <si>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</si>
  <si>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</si>
  <si>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</si>
  <si>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</si>
  <si>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</si>
  <si>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</si>
  <si>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</si>
  <si>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</si>
  <si>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</si>
  <si>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</si>
  <si>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</si>
  <si>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 xml:space="preserve">Old Price </t>
  </si>
  <si>
    <t xml:space="preserve">Current Price </t>
  </si>
  <si>
    <t xml:space="preserve">Discount Amount (KSh) </t>
  </si>
  <si>
    <t xml:space="preserve">Average of Old Price </t>
  </si>
  <si>
    <t xml:space="preserve">Sum of Current Price </t>
  </si>
  <si>
    <t xml:space="preserve">Average of Current Price </t>
  </si>
  <si>
    <t>Sum of Discount</t>
  </si>
  <si>
    <t>Average of Discount</t>
  </si>
  <si>
    <t>Row Labels</t>
  </si>
  <si>
    <t>Grand Total</t>
  </si>
  <si>
    <t>Average of Ratings</t>
  </si>
  <si>
    <t>Count of Product</t>
  </si>
  <si>
    <t>Rating category</t>
  </si>
  <si>
    <t>Least Expensive Product</t>
  </si>
  <si>
    <t>Most  Expensive Product</t>
  </si>
  <si>
    <t>Sum of Review</t>
  </si>
  <si>
    <t>Sum of Ratings</t>
  </si>
  <si>
    <t>(Multiple Items)</t>
  </si>
  <si>
    <t>.</t>
  </si>
  <si>
    <t>Reviews</t>
  </si>
  <si>
    <t>Discount %</t>
  </si>
  <si>
    <t>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</si>
</sst>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4">
    <xf numFmtId="0" fontId="0" fillId="0" borderId="0" xfId="0"/>
    <xf numFmtId="3" fontId="0" fillId="0" borderId="0" xfId="0" applyNumberFormat="1"/>
    <xf numFmtId="9" fontId="0" fillId="0" borderId="0" xfId="0" applyNumberFormat="1"/>
    <xf numFmtId="165" fontId="0" fillId="0" borderId="0" xfId="42" applyNumberFormat="1" applyFont="1"/>
    <xf numFmtId="0" fontId="0" fillId="0" borderId="0" xfId="0" applyNumberFormat="1"/>
    <xf numFmtId="43" fontId="0" fillId="0" borderId="0" xfId="0" applyNumberFormat="1"/>
    <xf numFmtId="0" fontId="0" fillId="0" borderId="11" xfId="0" applyBorder="1"/>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2" xfId="0" applyBorder="1"/>
    <xf numFmtId="0" fontId="17" fillId="0" borderId="0" xfId="0" applyFont="1" applyBorder="1"/>
    <xf numFmtId="0" fontId="0" fillId="0" borderId="11" xfId="0" applyBorder="1" applyAlignment="1"/>
    <xf numFmtId="0" fontId="0" fillId="0" borderId="11" xfId="0" applyBorder="1" applyAlignment="1">
      <alignment wrapText="1"/>
    </xf>
    <xf numFmtId="0" fontId="0" fillId="0" borderId="10" xfId="0" applyBorder="1"/>
    <xf numFmtId="0" fontId="0" fillId="0" borderId="16" xfId="0" applyBorder="1" applyAlignment="1">
      <alignment wrapText="1"/>
    </xf>
    <xf numFmtId="0" fontId="0" fillId="0" borderId="12" xfId="0"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8">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35" formatCode="_(* #,##0.00_);_(* \(#,##0.00\);_(* &quot;-&quot;??_);_(@_)"/>
    </dxf>
    <dxf>
      <numFmt numFmtId="14" formatCode="0.00%"/>
    </dxf>
    <dxf>
      <numFmt numFmtId="35" formatCode="_(* #,##0.00_);_(* \(#,##0.00\);_(* &quot;-&quot;??_);_(@_)"/>
    </dxf>
    <dxf>
      <numFmt numFmtId="35" formatCode="_(* #,##0.00_);_(* \(#,##0.00\);_(* &quot;-&quot;??_);_(@_)"/>
    </dxf>
    <dxf>
      <numFmt numFmtId="165" formatCode="_(* #,##0_);_(* \(#,##0\);_(* &quot;-&quot;??_);_(@_)"/>
    </dxf>
    <dxf>
      <numFmt numFmtId="165" formatCode="_(* #,##0_);_(* \(#,##0\);_(* &quot;-&quot;??_);_(@_)"/>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2" formatCode="0.00"/>
    </dxf>
    <dxf>
      <numFmt numFmtId="2" formatCode="0.00"/>
    </dxf>
    <dxf>
      <numFmt numFmtId="13" formatCode="0%"/>
    </dxf>
    <dxf>
      <numFmt numFmtId="13" formatCode="0%"/>
    </dxf>
    <dxf>
      <numFmt numFmtId="2" formatCode="0.00"/>
    </dxf>
    <dxf>
      <numFmt numFmtId="2" formatCode="0.00"/>
    </dxf>
    <dxf>
      <numFmt numFmtId="13" formatCode="0%"/>
    </dxf>
    <dxf>
      <numFmt numFmtId="165" formatCode="_(* #,##0_);_(* \(#,##0\);_(* &quot;-&quot;??_);_(@_)"/>
    </dxf>
    <dxf>
      <numFmt numFmtId="165" formatCode="_(* #,##0_);_(* \(#,##0\);_(* &quot;-&quot;??_);_(@_)"/>
    </dxf>
    <dxf>
      <numFmt numFmtId="2" formatCode="0.00"/>
    </dxf>
    <dxf>
      <numFmt numFmtId="2" formatCode="0.00"/>
    </dxf>
    <dxf>
      <numFmt numFmtId="13" formatCode="0%"/>
    </dxf>
    <dxf>
      <numFmt numFmtId="35" formatCode="_(* #,##0.00_);_(* \(#,##0.00\);_(* &quot;-&quot;??_);_(@_)"/>
    </dxf>
    <dxf>
      <numFmt numFmtId="35" formatCode="_(* #,##0.00_);_(* \(#,##0.00\);_(* &quot;-&quot;??_);_(@_)"/>
    </dxf>
    <dxf>
      <numFmt numFmtId="14" formatCode="0.00%"/>
    </dxf>
    <dxf>
      <numFmt numFmtId="2" formatCode="0.00"/>
    </dxf>
    <dxf>
      <numFmt numFmtId="0" formatCode="General"/>
    </dxf>
    <dxf>
      <numFmt numFmtId="13" formatCode="0%"/>
    </dxf>
    <dxf>
      <numFmt numFmtId="13" formatCode="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0" formatCode="General"/>
    </dxf>
    <dxf>
      <numFmt numFmtId="0" formatCode="General"/>
    </dxf>
    <dxf>
      <numFmt numFmtId="0" formatCode="General"/>
    </dxf>
    <dxf>
      <numFmt numFmtId="0" formatCode="General"/>
    </dxf>
    <dxf>
      <numFmt numFmtId="13" formatCode="0%"/>
    </dxf>
    <dxf>
      <font>
        <b val="0"/>
        <i val="0"/>
        <strike val="0"/>
        <condense val="0"/>
        <extend val="0"/>
        <outline val="0"/>
        <shadow val="0"/>
        <u val="none"/>
        <vertAlign val="baseline"/>
        <sz val="11"/>
        <color theme="1"/>
        <name val="Calibri"/>
        <family val="2"/>
        <scheme val="minor"/>
      </font>
      <numFmt numFmtId="165" formatCode="_(* #,##0_);_(* \(#,##0\);_(* &quot;-&quot;??_);_(@_)"/>
    </dxf>
    <dxf>
      <numFmt numFmtId="13" formatCode="0%"/>
    </dxf>
    <dxf>
      <numFmt numFmtId="165" formatCode="_(* #,##0_);_(* \(#,##0\);_(* &quot;-&quot;??_);_(@_)"/>
    </dxf>
    <dxf>
      <numFmt numFmtId="35" formatCode="_(* #,##0.00_);_(* \(#,##0.00\);_(* &quot;-&quot;??_);_(@_)"/>
    </dxf>
  </dxfs>
  <tableStyles count="0" defaultTableStyle="TableStyleMedium2" defaultPivotStyle="PivotStyleLight16"/>
  <colors>
    <mruColors>
      <color rgb="FFF55203"/>
      <color rgb="FF282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effectLst/>
              </a:rPr>
              <a:t>Rating Versus Reviews</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and Relationship Analysis'!$E$3</c:f>
              <c:strCache>
                <c:ptCount val="1"/>
                <c:pt idx="0">
                  <c:v>Sum of Review</c:v>
                </c:pt>
              </c:strCache>
            </c:strRef>
          </c:tx>
          <c:spPr>
            <a:ln w="19050" cap="rnd">
              <a:noFill/>
              <a:round/>
            </a:ln>
            <a:effectLst/>
          </c:spPr>
          <c:marker>
            <c:symbol val="circle"/>
            <c:size val="5"/>
            <c:spPr>
              <a:solidFill>
                <a:schemeClr val="accent1"/>
              </a:solidFill>
              <a:ln w="9525">
                <a:solidFill>
                  <a:schemeClr val="accent1"/>
                </a:solidFill>
              </a:ln>
              <a:effectLst/>
            </c:spPr>
          </c:marker>
          <c:xVal>
            <c:numRef>
              <c:f>'Trend and Relationship Analysis'!$D$4:$D$112</c:f>
              <c:numCache>
                <c:formatCode>General</c:formatCode>
                <c:ptCount val="109"/>
                <c:pt idx="0">
                  <c:v>0.38</c:v>
                </c:pt>
                <c:pt idx="1">
                  <c:v>0.34</c:v>
                </c:pt>
                <c:pt idx="2">
                  <c:v>0.38</c:v>
                </c:pt>
                <c:pt idx="3">
                  <c:v>0.32</c:v>
                </c:pt>
                <c:pt idx="4">
                  <c:v>0.34</c:v>
                </c:pt>
                <c:pt idx="5">
                  <c:v>0.49</c:v>
                </c:pt>
                <c:pt idx="6">
                  <c:v>0.27</c:v>
                </c:pt>
                <c:pt idx="7">
                  <c:v>0.45</c:v>
                </c:pt>
                <c:pt idx="8">
                  <c:v>0.24</c:v>
                </c:pt>
                <c:pt idx="9">
                  <c:v>0.24</c:v>
                </c:pt>
                <c:pt idx="10">
                  <c:v>0.02</c:v>
                </c:pt>
                <c:pt idx="11">
                  <c:v>0.09</c:v>
                </c:pt>
                <c:pt idx="12">
                  <c:v>0.01</c:v>
                </c:pt>
                <c:pt idx="13">
                  <c:v>0.5</c:v>
                </c:pt>
                <c:pt idx="14">
                  <c:v>0.38</c:v>
                </c:pt>
                <c:pt idx="15">
                  <c:v>0.47</c:v>
                </c:pt>
                <c:pt idx="16">
                  <c:v>0.39</c:v>
                </c:pt>
                <c:pt idx="17">
                  <c:v>0.5</c:v>
                </c:pt>
                <c:pt idx="18">
                  <c:v>0.49</c:v>
                </c:pt>
                <c:pt idx="19">
                  <c:v>0.43</c:v>
                </c:pt>
                <c:pt idx="20">
                  <c:v>0.53</c:v>
                </c:pt>
                <c:pt idx="21">
                  <c:v>0.49</c:v>
                </c:pt>
                <c:pt idx="22">
                  <c:v>0.47</c:v>
                </c:pt>
                <c:pt idx="23">
                  <c:v>0.49</c:v>
                </c:pt>
                <c:pt idx="24">
                  <c:v>0.42</c:v>
                </c:pt>
                <c:pt idx="25">
                  <c:v>0.13</c:v>
                </c:pt>
                <c:pt idx="26">
                  <c:v>0.3</c:v>
                </c:pt>
                <c:pt idx="27">
                  <c:v>0.27</c:v>
                </c:pt>
                <c:pt idx="28">
                  <c:v>0.27</c:v>
                </c:pt>
                <c:pt idx="29">
                  <c:v>0.36</c:v>
                </c:pt>
                <c:pt idx="30">
                  <c:v>0.55000000000000004</c:v>
                </c:pt>
                <c:pt idx="31">
                  <c:v>0.64</c:v>
                </c:pt>
                <c:pt idx="32">
                  <c:v>0.47</c:v>
                </c:pt>
                <c:pt idx="33">
                  <c:v>0.33</c:v>
                </c:pt>
                <c:pt idx="34">
                  <c:v>0.49</c:v>
                </c:pt>
                <c:pt idx="35">
                  <c:v>0.47</c:v>
                </c:pt>
                <c:pt idx="36">
                  <c:v>0.42</c:v>
                </c:pt>
                <c:pt idx="37">
                  <c:v>0.41</c:v>
                </c:pt>
                <c:pt idx="38">
                  <c:v>0.45</c:v>
                </c:pt>
                <c:pt idx="39">
                  <c:v>0.49</c:v>
                </c:pt>
                <c:pt idx="40">
                  <c:v>0.51</c:v>
                </c:pt>
                <c:pt idx="41">
                  <c:v>0.45</c:v>
                </c:pt>
                <c:pt idx="42">
                  <c:v>0.49</c:v>
                </c:pt>
                <c:pt idx="43">
                  <c:v>0.42</c:v>
                </c:pt>
                <c:pt idx="44">
                  <c:v>0.49</c:v>
                </c:pt>
                <c:pt idx="45">
                  <c:v>0.47</c:v>
                </c:pt>
                <c:pt idx="46">
                  <c:v>0.5</c:v>
                </c:pt>
                <c:pt idx="47">
                  <c:v>0.49</c:v>
                </c:pt>
                <c:pt idx="48">
                  <c:v>0.49</c:v>
                </c:pt>
                <c:pt idx="49">
                  <c:v>0.34</c:v>
                </c:pt>
                <c:pt idx="50">
                  <c:v>0.5</c:v>
                </c:pt>
                <c:pt idx="51">
                  <c:v>0.48</c:v>
                </c:pt>
                <c:pt idx="52">
                  <c:v>0.53</c:v>
                </c:pt>
                <c:pt idx="53">
                  <c:v>0.61</c:v>
                </c:pt>
                <c:pt idx="54">
                  <c:v>0.04</c:v>
                </c:pt>
                <c:pt idx="55">
                  <c:v>0.41</c:v>
                </c:pt>
                <c:pt idx="56">
                  <c:v>0.37</c:v>
                </c:pt>
                <c:pt idx="57">
                  <c:v>0.4</c:v>
                </c:pt>
                <c:pt idx="58">
                  <c:v>0.47</c:v>
                </c:pt>
                <c:pt idx="59">
                  <c:v>0.35</c:v>
                </c:pt>
                <c:pt idx="60">
                  <c:v>0.52</c:v>
                </c:pt>
                <c:pt idx="61">
                  <c:v>0.23</c:v>
                </c:pt>
                <c:pt idx="62">
                  <c:v>0.2</c:v>
                </c:pt>
                <c:pt idx="63">
                  <c:v>0.49</c:v>
                </c:pt>
                <c:pt idx="64">
                  <c:v>0.52</c:v>
                </c:pt>
                <c:pt idx="65">
                  <c:v>0.21</c:v>
                </c:pt>
                <c:pt idx="66">
                  <c:v>0.28999999999999998</c:v>
                </c:pt>
                <c:pt idx="67">
                  <c:v>0.54</c:v>
                </c:pt>
                <c:pt idx="68">
                  <c:v>0.49</c:v>
                </c:pt>
                <c:pt idx="69">
                  <c:v>0.42</c:v>
                </c:pt>
                <c:pt idx="70">
                  <c:v>0.55000000000000004</c:v>
                </c:pt>
                <c:pt idx="71">
                  <c:v>0.38</c:v>
                </c:pt>
                <c:pt idx="72">
                  <c:v>0.48</c:v>
                </c:pt>
                <c:pt idx="73">
                  <c:v>0.35</c:v>
                </c:pt>
                <c:pt idx="74">
                  <c:v>0.34</c:v>
                </c:pt>
                <c:pt idx="75">
                  <c:v>0.19</c:v>
                </c:pt>
                <c:pt idx="76">
                  <c:v>0.46</c:v>
                </c:pt>
                <c:pt idx="77">
                  <c:v>0.47</c:v>
                </c:pt>
                <c:pt idx="78">
                  <c:v>0.04</c:v>
                </c:pt>
                <c:pt idx="79">
                  <c:v>0.5</c:v>
                </c:pt>
                <c:pt idx="80">
                  <c:v>0.33</c:v>
                </c:pt>
                <c:pt idx="81">
                  <c:v>0.43</c:v>
                </c:pt>
                <c:pt idx="82">
                  <c:v>0.46</c:v>
                </c:pt>
                <c:pt idx="83">
                  <c:v>0.03</c:v>
                </c:pt>
                <c:pt idx="84">
                  <c:v>0.54</c:v>
                </c:pt>
                <c:pt idx="85">
                  <c:v>0.14000000000000001</c:v>
                </c:pt>
                <c:pt idx="86">
                  <c:v>0.11</c:v>
                </c:pt>
                <c:pt idx="87">
                  <c:v>0.46</c:v>
                </c:pt>
                <c:pt idx="88">
                  <c:v>0.02</c:v>
                </c:pt>
                <c:pt idx="89">
                  <c:v>0.22</c:v>
                </c:pt>
                <c:pt idx="90">
                  <c:v>0.26</c:v>
                </c:pt>
                <c:pt idx="91">
                  <c:v>0.25</c:v>
                </c:pt>
                <c:pt idx="92">
                  <c:v>0.02</c:v>
                </c:pt>
                <c:pt idx="93">
                  <c:v>0.18</c:v>
                </c:pt>
                <c:pt idx="94">
                  <c:v>0.48</c:v>
                </c:pt>
                <c:pt idx="95">
                  <c:v>0.41</c:v>
                </c:pt>
                <c:pt idx="96">
                  <c:v>0.48</c:v>
                </c:pt>
                <c:pt idx="97">
                  <c:v>0.02</c:v>
                </c:pt>
                <c:pt idx="98">
                  <c:v>0.02</c:v>
                </c:pt>
                <c:pt idx="99">
                  <c:v>0.45</c:v>
                </c:pt>
                <c:pt idx="100">
                  <c:v>0.02</c:v>
                </c:pt>
                <c:pt idx="101">
                  <c:v>0.22</c:v>
                </c:pt>
                <c:pt idx="102">
                  <c:v>0.5</c:v>
                </c:pt>
                <c:pt idx="103">
                  <c:v>0.08</c:v>
                </c:pt>
                <c:pt idx="104">
                  <c:v>0.5</c:v>
                </c:pt>
                <c:pt idx="105">
                  <c:v>0.14000000000000001</c:v>
                </c:pt>
                <c:pt idx="106">
                  <c:v>0.43</c:v>
                </c:pt>
                <c:pt idx="107">
                  <c:v>0.37</c:v>
                </c:pt>
                <c:pt idx="108">
                  <c:v>0.43</c:v>
                </c:pt>
              </c:numCache>
            </c:numRef>
          </c:xVal>
          <c:yVal>
            <c:numRef>
              <c:f>'Trend and Relationship Analysis'!$E$4:$E$112</c:f>
              <c:numCache>
                <c:formatCode>General</c:formatCode>
                <c:ptCount val="109"/>
                <c:pt idx="0">
                  <c:v>2</c:v>
                </c:pt>
                <c:pt idx="1">
                  <c:v>39</c:v>
                </c:pt>
                <c:pt idx="2">
                  <c:v>2</c:v>
                </c:pt>
                <c:pt idx="3">
                  <c:v>13</c:v>
                </c:pt>
                <c:pt idx="4">
                  <c:v>12</c:v>
                </c:pt>
                <c:pt idx="5">
                  <c:v>69</c:v>
                </c:pt>
                <c:pt idx="6">
                  <c:v>0</c:v>
                </c:pt>
                <c:pt idx="7">
                  <c:v>5</c:v>
                </c:pt>
                <c:pt idx="8">
                  <c:v>55</c:v>
                </c:pt>
                <c:pt idx="9">
                  <c:v>0</c:v>
                </c:pt>
                <c:pt idx="10">
                  <c:v>0</c:v>
                </c:pt>
                <c:pt idx="11">
                  <c:v>15</c:v>
                </c:pt>
                <c:pt idx="12">
                  <c:v>0</c:v>
                </c:pt>
                <c:pt idx="13">
                  <c:v>0</c:v>
                </c:pt>
                <c:pt idx="14">
                  <c:v>0</c:v>
                </c:pt>
                <c:pt idx="15">
                  <c:v>0</c:v>
                </c:pt>
                <c:pt idx="16">
                  <c:v>5</c:v>
                </c:pt>
                <c:pt idx="17">
                  <c:v>7</c:v>
                </c:pt>
                <c:pt idx="18">
                  <c:v>44</c:v>
                </c:pt>
                <c:pt idx="19">
                  <c:v>0</c:v>
                </c:pt>
                <c:pt idx="20">
                  <c:v>13</c:v>
                </c:pt>
                <c:pt idx="21">
                  <c:v>0</c:v>
                </c:pt>
                <c:pt idx="22">
                  <c:v>12</c:v>
                </c:pt>
                <c:pt idx="23">
                  <c:v>0</c:v>
                </c:pt>
                <c:pt idx="24">
                  <c:v>0</c:v>
                </c:pt>
                <c:pt idx="25">
                  <c:v>6</c:v>
                </c:pt>
                <c:pt idx="26">
                  <c:v>20</c:v>
                </c:pt>
                <c:pt idx="27">
                  <c:v>32</c:v>
                </c:pt>
                <c:pt idx="28">
                  <c:v>20</c:v>
                </c:pt>
                <c:pt idx="29">
                  <c:v>0</c:v>
                </c:pt>
                <c:pt idx="30">
                  <c:v>13</c:v>
                </c:pt>
                <c:pt idx="31">
                  <c:v>0</c:v>
                </c:pt>
                <c:pt idx="32">
                  <c:v>0</c:v>
                </c:pt>
                <c:pt idx="33">
                  <c:v>0</c:v>
                </c:pt>
                <c:pt idx="34">
                  <c:v>0</c:v>
                </c:pt>
                <c:pt idx="35">
                  <c:v>6</c:v>
                </c:pt>
                <c:pt idx="36">
                  <c:v>0</c:v>
                </c:pt>
                <c:pt idx="37">
                  <c:v>0</c:v>
                </c:pt>
                <c:pt idx="38">
                  <c:v>17</c:v>
                </c:pt>
                <c:pt idx="39">
                  <c:v>0</c:v>
                </c:pt>
                <c:pt idx="40">
                  <c:v>2</c:v>
                </c:pt>
                <c:pt idx="41">
                  <c:v>6</c:v>
                </c:pt>
                <c:pt idx="42">
                  <c:v>0</c:v>
                </c:pt>
                <c:pt idx="43">
                  <c:v>0</c:v>
                </c:pt>
                <c:pt idx="44">
                  <c:v>1</c:v>
                </c:pt>
                <c:pt idx="45">
                  <c:v>0</c:v>
                </c:pt>
                <c:pt idx="46">
                  <c:v>0</c:v>
                </c:pt>
                <c:pt idx="47">
                  <c:v>0</c:v>
                </c:pt>
                <c:pt idx="48">
                  <c:v>0</c:v>
                </c:pt>
                <c:pt idx="49">
                  <c:v>0</c:v>
                </c:pt>
                <c:pt idx="50">
                  <c:v>0</c:v>
                </c:pt>
                <c:pt idx="51">
                  <c:v>0</c:v>
                </c:pt>
                <c:pt idx="52">
                  <c:v>2</c:v>
                </c:pt>
                <c:pt idx="53">
                  <c:v>0</c:v>
                </c:pt>
                <c:pt idx="54">
                  <c:v>0</c:v>
                </c:pt>
                <c:pt idx="55">
                  <c:v>0</c:v>
                </c:pt>
                <c:pt idx="56">
                  <c:v>2</c:v>
                </c:pt>
                <c:pt idx="57">
                  <c:v>1</c:v>
                </c:pt>
                <c:pt idx="58">
                  <c:v>7</c:v>
                </c:pt>
                <c:pt idx="59">
                  <c:v>49</c:v>
                </c:pt>
                <c:pt idx="60">
                  <c:v>9</c:v>
                </c:pt>
                <c:pt idx="61">
                  <c:v>14</c:v>
                </c:pt>
                <c:pt idx="62">
                  <c:v>12</c:v>
                </c:pt>
                <c:pt idx="63">
                  <c:v>1</c:v>
                </c:pt>
                <c:pt idx="64">
                  <c:v>15</c:v>
                </c:pt>
                <c:pt idx="65">
                  <c:v>1</c:v>
                </c:pt>
                <c:pt idx="66">
                  <c:v>5</c:v>
                </c:pt>
                <c:pt idx="67">
                  <c:v>7</c:v>
                </c:pt>
                <c:pt idx="68">
                  <c:v>3</c:v>
                </c:pt>
                <c:pt idx="69">
                  <c:v>6</c:v>
                </c:pt>
                <c:pt idx="70">
                  <c:v>5</c:v>
                </c:pt>
                <c:pt idx="71">
                  <c:v>0</c:v>
                </c:pt>
                <c:pt idx="72">
                  <c:v>9</c:v>
                </c:pt>
                <c:pt idx="73">
                  <c:v>6</c:v>
                </c:pt>
                <c:pt idx="74">
                  <c:v>0</c:v>
                </c:pt>
                <c:pt idx="75">
                  <c:v>5</c:v>
                </c:pt>
                <c:pt idx="76">
                  <c:v>1</c:v>
                </c:pt>
                <c:pt idx="77">
                  <c:v>14</c:v>
                </c:pt>
                <c:pt idx="78">
                  <c:v>0</c:v>
                </c:pt>
                <c:pt idx="79">
                  <c:v>0</c:v>
                </c:pt>
                <c:pt idx="80">
                  <c:v>9</c:v>
                </c:pt>
                <c:pt idx="81">
                  <c:v>0</c:v>
                </c:pt>
                <c:pt idx="82">
                  <c:v>0</c:v>
                </c:pt>
                <c:pt idx="83">
                  <c:v>0</c:v>
                </c:pt>
                <c:pt idx="84">
                  <c:v>10</c:v>
                </c:pt>
                <c:pt idx="85">
                  <c:v>0</c:v>
                </c:pt>
                <c:pt idx="86">
                  <c:v>0</c:v>
                </c:pt>
                <c:pt idx="87">
                  <c:v>2</c:v>
                </c:pt>
                <c:pt idx="88">
                  <c:v>0</c:v>
                </c:pt>
                <c:pt idx="89">
                  <c:v>0</c:v>
                </c:pt>
                <c:pt idx="90">
                  <c:v>5</c:v>
                </c:pt>
                <c:pt idx="91">
                  <c:v>24</c:v>
                </c:pt>
                <c:pt idx="92">
                  <c:v>0</c:v>
                </c:pt>
                <c:pt idx="93">
                  <c:v>12</c:v>
                </c:pt>
                <c:pt idx="94">
                  <c:v>0</c:v>
                </c:pt>
                <c:pt idx="95">
                  <c:v>36</c:v>
                </c:pt>
                <c:pt idx="96">
                  <c:v>0</c:v>
                </c:pt>
                <c:pt idx="97">
                  <c:v>0</c:v>
                </c:pt>
                <c:pt idx="98">
                  <c:v>0</c:v>
                </c:pt>
                <c:pt idx="99">
                  <c:v>0</c:v>
                </c:pt>
                <c:pt idx="100">
                  <c:v>0</c:v>
                </c:pt>
                <c:pt idx="101">
                  <c:v>16</c:v>
                </c:pt>
                <c:pt idx="102">
                  <c:v>0</c:v>
                </c:pt>
                <c:pt idx="103">
                  <c:v>0</c:v>
                </c:pt>
                <c:pt idx="104">
                  <c:v>1</c:v>
                </c:pt>
                <c:pt idx="105">
                  <c:v>0</c:v>
                </c:pt>
                <c:pt idx="106">
                  <c:v>6</c:v>
                </c:pt>
                <c:pt idx="107">
                  <c:v>7</c:v>
                </c:pt>
                <c:pt idx="108">
                  <c:v>5</c:v>
                </c:pt>
              </c:numCache>
            </c:numRef>
          </c:yVal>
          <c:smooth val="0"/>
          <c:extLst>
            <c:ext xmlns:c16="http://schemas.microsoft.com/office/drawing/2014/chart" uri="{C3380CC4-5D6E-409C-BE32-E72D297353CC}">
              <c16:uniqueId val="{00000000-DD98-4382-927B-70DC9C147CE7}"/>
            </c:ext>
          </c:extLst>
        </c:ser>
        <c:dLbls>
          <c:showLegendKey val="0"/>
          <c:showVal val="0"/>
          <c:showCatName val="0"/>
          <c:showSerName val="0"/>
          <c:showPercent val="0"/>
          <c:showBubbleSize val="0"/>
        </c:dLbls>
        <c:axId val="993351055"/>
        <c:axId val="993348143"/>
      </c:scatterChart>
      <c:valAx>
        <c:axId val="99335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348143"/>
        <c:crosses val="autoZero"/>
        <c:crossBetween val="midCat"/>
      </c:valAx>
      <c:valAx>
        <c:axId val="99334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3510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'Trend and Relationship Analysis'!$E$116</c:f>
              <c:strCache>
                <c:ptCount val="1"/>
                <c:pt idx="0">
                  <c:v>Sum of Review</c:v>
                </c:pt>
              </c:strCache>
            </c:strRef>
          </c:tx>
          <c:spPr>
            <a:solidFill>
              <a:schemeClr val="accent1"/>
            </a:solidFill>
            <a:ln>
              <a:noFill/>
            </a:ln>
            <a:effectLst/>
          </c:spPr>
          <c:invertIfNegative val="0"/>
          <c:cat>
            <c:numRef>
              <c:f>'Trend and Relationship Analysis'!$D$117:$D$138</c:f>
              <c:numCache>
                <c:formatCode>General</c:formatCode>
                <c:ptCount val="22"/>
                <c:pt idx="0">
                  <c:v>2</c:v>
                </c:pt>
                <c:pt idx="1">
                  <c:v>2.1</c:v>
                </c:pt>
                <c:pt idx="2">
                  <c:v>2.2000000000000002</c:v>
                </c:pt>
                <c:pt idx="3">
                  <c:v>2.2999999999999998</c:v>
                </c:pt>
                <c:pt idx="4">
                  <c:v>2.5</c:v>
                </c:pt>
                <c:pt idx="5">
                  <c:v>2.6</c:v>
                </c:pt>
                <c:pt idx="6">
                  <c:v>2.7</c:v>
                </c:pt>
                <c:pt idx="7">
                  <c:v>2.8</c:v>
                </c:pt>
                <c:pt idx="8">
                  <c:v>2.9</c:v>
                </c:pt>
                <c:pt idx="9">
                  <c:v>3</c:v>
                </c:pt>
                <c:pt idx="10">
                  <c:v>3.3</c:v>
                </c:pt>
                <c:pt idx="11">
                  <c:v>3.8</c:v>
                </c:pt>
                <c:pt idx="12">
                  <c:v>4</c:v>
                </c:pt>
                <c:pt idx="13">
                  <c:v>4.0999999999999996</c:v>
                </c:pt>
                <c:pt idx="14">
                  <c:v>4.2</c:v>
                </c:pt>
                <c:pt idx="15">
                  <c:v>4.3</c:v>
                </c:pt>
                <c:pt idx="16">
                  <c:v>4.4000000000000004</c:v>
                </c:pt>
                <c:pt idx="17">
                  <c:v>4.5</c:v>
                </c:pt>
                <c:pt idx="18">
                  <c:v>4.5999999999999996</c:v>
                </c:pt>
                <c:pt idx="19">
                  <c:v>4.7</c:v>
                </c:pt>
                <c:pt idx="20">
                  <c:v>4.8</c:v>
                </c:pt>
                <c:pt idx="21">
                  <c:v>5</c:v>
                </c:pt>
              </c:numCache>
            </c:numRef>
          </c:cat>
          <c:val>
            <c:numRef>
              <c:f>'Trend and Relationship Analysis'!$E$117:$E$138</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7B6D-4E1A-8658-D712598A402D}"/>
            </c:ext>
          </c:extLst>
        </c:ser>
        <c:dLbls>
          <c:showLegendKey val="0"/>
          <c:showVal val="0"/>
          <c:showCatName val="0"/>
          <c:showSerName val="0"/>
          <c:showPercent val="0"/>
          <c:showBubbleSize val="0"/>
        </c:dLbls>
        <c:gapWidth val="219"/>
        <c:overlap val="-27"/>
        <c:axId val="1043327663"/>
        <c:axId val="1043316847"/>
      </c:barChart>
      <c:catAx>
        <c:axId val="10433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16847"/>
        <c:crosses val="autoZero"/>
        <c:auto val="1"/>
        <c:lblAlgn val="ctr"/>
        <c:lblOffset val="100"/>
        <c:noMultiLvlLbl val="0"/>
      </c:catAx>
      <c:valAx>
        <c:axId val="104331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27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effectLst/>
              </a:rPr>
              <a:t>Discount Percentage Versus Reviews</a:t>
            </a:r>
            <a:endParaRPr lang="en-US" sz="12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and Relationship Analysis'!$E$3</c:f>
              <c:strCache>
                <c:ptCount val="1"/>
                <c:pt idx="0">
                  <c:v>Sum of Review</c:v>
                </c:pt>
              </c:strCache>
            </c:strRef>
          </c:tx>
          <c:spPr>
            <a:ln w="19050" cap="rnd">
              <a:noFill/>
              <a:round/>
            </a:ln>
            <a:effectLst/>
          </c:spPr>
          <c:marker>
            <c:symbol val="circle"/>
            <c:size val="5"/>
            <c:spPr>
              <a:solidFill>
                <a:schemeClr val="accent1"/>
              </a:solidFill>
              <a:ln w="9525">
                <a:solidFill>
                  <a:schemeClr val="accent1"/>
                </a:solidFill>
              </a:ln>
              <a:effectLst/>
            </c:spPr>
          </c:marker>
          <c:xVal>
            <c:numRef>
              <c:f>'Trend and Relationship Analysis'!$D$4:$D$112</c:f>
              <c:numCache>
                <c:formatCode>General</c:formatCode>
                <c:ptCount val="109"/>
                <c:pt idx="0">
                  <c:v>0.38</c:v>
                </c:pt>
                <c:pt idx="1">
                  <c:v>0.34</c:v>
                </c:pt>
                <c:pt idx="2">
                  <c:v>0.38</c:v>
                </c:pt>
                <c:pt idx="3">
                  <c:v>0.32</c:v>
                </c:pt>
                <c:pt idx="4">
                  <c:v>0.34</c:v>
                </c:pt>
                <c:pt idx="5">
                  <c:v>0.49</c:v>
                </c:pt>
                <c:pt idx="6">
                  <c:v>0.27</c:v>
                </c:pt>
                <c:pt idx="7">
                  <c:v>0.45</c:v>
                </c:pt>
                <c:pt idx="8">
                  <c:v>0.24</c:v>
                </c:pt>
                <c:pt idx="9">
                  <c:v>0.24</c:v>
                </c:pt>
                <c:pt idx="10">
                  <c:v>0.02</c:v>
                </c:pt>
                <c:pt idx="11">
                  <c:v>0.09</c:v>
                </c:pt>
                <c:pt idx="12">
                  <c:v>0.01</c:v>
                </c:pt>
                <c:pt idx="13">
                  <c:v>0.5</c:v>
                </c:pt>
                <c:pt idx="14">
                  <c:v>0.38</c:v>
                </c:pt>
                <c:pt idx="15">
                  <c:v>0.47</c:v>
                </c:pt>
                <c:pt idx="16">
                  <c:v>0.39</c:v>
                </c:pt>
                <c:pt idx="17">
                  <c:v>0.5</c:v>
                </c:pt>
                <c:pt idx="18">
                  <c:v>0.49</c:v>
                </c:pt>
                <c:pt idx="19">
                  <c:v>0.43</c:v>
                </c:pt>
                <c:pt idx="20">
                  <c:v>0.53</c:v>
                </c:pt>
                <c:pt idx="21">
                  <c:v>0.49</c:v>
                </c:pt>
                <c:pt idx="22">
                  <c:v>0.47</c:v>
                </c:pt>
                <c:pt idx="23">
                  <c:v>0.49</c:v>
                </c:pt>
                <c:pt idx="24">
                  <c:v>0.42</c:v>
                </c:pt>
                <c:pt idx="25">
                  <c:v>0.13</c:v>
                </c:pt>
                <c:pt idx="26">
                  <c:v>0.3</c:v>
                </c:pt>
                <c:pt idx="27">
                  <c:v>0.27</c:v>
                </c:pt>
                <c:pt idx="28">
                  <c:v>0.27</c:v>
                </c:pt>
                <c:pt idx="29">
                  <c:v>0.36</c:v>
                </c:pt>
                <c:pt idx="30">
                  <c:v>0.55000000000000004</c:v>
                </c:pt>
                <c:pt idx="31">
                  <c:v>0.64</c:v>
                </c:pt>
                <c:pt idx="32">
                  <c:v>0.47</c:v>
                </c:pt>
                <c:pt idx="33">
                  <c:v>0.33</c:v>
                </c:pt>
                <c:pt idx="34">
                  <c:v>0.49</c:v>
                </c:pt>
                <c:pt idx="35">
                  <c:v>0.47</c:v>
                </c:pt>
                <c:pt idx="36">
                  <c:v>0.42</c:v>
                </c:pt>
                <c:pt idx="37">
                  <c:v>0.41</c:v>
                </c:pt>
                <c:pt idx="38">
                  <c:v>0.45</c:v>
                </c:pt>
                <c:pt idx="39">
                  <c:v>0.49</c:v>
                </c:pt>
                <c:pt idx="40">
                  <c:v>0.51</c:v>
                </c:pt>
                <c:pt idx="41">
                  <c:v>0.45</c:v>
                </c:pt>
                <c:pt idx="42">
                  <c:v>0.49</c:v>
                </c:pt>
                <c:pt idx="43">
                  <c:v>0.42</c:v>
                </c:pt>
                <c:pt idx="44">
                  <c:v>0.49</c:v>
                </c:pt>
                <c:pt idx="45">
                  <c:v>0.47</c:v>
                </c:pt>
                <c:pt idx="46">
                  <c:v>0.5</c:v>
                </c:pt>
                <c:pt idx="47">
                  <c:v>0.49</c:v>
                </c:pt>
                <c:pt idx="48">
                  <c:v>0.49</c:v>
                </c:pt>
                <c:pt idx="49">
                  <c:v>0.34</c:v>
                </c:pt>
                <c:pt idx="50">
                  <c:v>0.5</c:v>
                </c:pt>
                <c:pt idx="51">
                  <c:v>0.48</c:v>
                </c:pt>
                <c:pt idx="52">
                  <c:v>0.53</c:v>
                </c:pt>
                <c:pt idx="53">
                  <c:v>0.61</c:v>
                </c:pt>
                <c:pt idx="54">
                  <c:v>0.04</c:v>
                </c:pt>
                <c:pt idx="55">
                  <c:v>0.41</c:v>
                </c:pt>
                <c:pt idx="56">
                  <c:v>0.37</c:v>
                </c:pt>
                <c:pt idx="57">
                  <c:v>0.4</c:v>
                </c:pt>
                <c:pt idx="58">
                  <c:v>0.47</c:v>
                </c:pt>
                <c:pt idx="59">
                  <c:v>0.35</c:v>
                </c:pt>
                <c:pt idx="60">
                  <c:v>0.52</c:v>
                </c:pt>
                <c:pt idx="61">
                  <c:v>0.23</c:v>
                </c:pt>
                <c:pt idx="62">
                  <c:v>0.2</c:v>
                </c:pt>
                <c:pt idx="63">
                  <c:v>0.49</c:v>
                </c:pt>
                <c:pt idx="64">
                  <c:v>0.52</c:v>
                </c:pt>
                <c:pt idx="65">
                  <c:v>0.21</c:v>
                </c:pt>
                <c:pt idx="66">
                  <c:v>0.28999999999999998</c:v>
                </c:pt>
                <c:pt idx="67">
                  <c:v>0.54</c:v>
                </c:pt>
                <c:pt idx="68">
                  <c:v>0.49</c:v>
                </c:pt>
                <c:pt idx="69">
                  <c:v>0.42</c:v>
                </c:pt>
                <c:pt idx="70">
                  <c:v>0.55000000000000004</c:v>
                </c:pt>
                <c:pt idx="71">
                  <c:v>0.38</c:v>
                </c:pt>
                <c:pt idx="72">
                  <c:v>0.48</c:v>
                </c:pt>
                <c:pt idx="73">
                  <c:v>0.35</c:v>
                </c:pt>
                <c:pt idx="74">
                  <c:v>0.34</c:v>
                </c:pt>
                <c:pt idx="75">
                  <c:v>0.19</c:v>
                </c:pt>
                <c:pt idx="76">
                  <c:v>0.46</c:v>
                </c:pt>
                <c:pt idx="77">
                  <c:v>0.47</c:v>
                </c:pt>
                <c:pt idx="78">
                  <c:v>0.04</c:v>
                </c:pt>
                <c:pt idx="79">
                  <c:v>0.5</c:v>
                </c:pt>
                <c:pt idx="80">
                  <c:v>0.33</c:v>
                </c:pt>
                <c:pt idx="81">
                  <c:v>0.43</c:v>
                </c:pt>
                <c:pt idx="82">
                  <c:v>0.46</c:v>
                </c:pt>
                <c:pt idx="83">
                  <c:v>0.03</c:v>
                </c:pt>
                <c:pt idx="84">
                  <c:v>0.54</c:v>
                </c:pt>
                <c:pt idx="85">
                  <c:v>0.14000000000000001</c:v>
                </c:pt>
                <c:pt idx="86">
                  <c:v>0.11</c:v>
                </c:pt>
                <c:pt idx="87">
                  <c:v>0.46</c:v>
                </c:pt>
                <c:pt idx="88">
                  <c:v>0.02</c:v>
                </c:pt>
                <c:pt idx="89">
                  <c:v>0.22</c:v>
                </c:pt>
                <c:pt idx="90">
                  <c:v>0.26</c:v>
                </c:pt>
                <c:pt idx="91">
                  <c:v>0.25</c:v>
                </c:pt>
                <c:pt idx="92">
                  <c:v>0.02</c:v>
                </c:pt>
                <c:pt idx="93">
                  <c:v>0.18</c:v>
                </c:pt>
                <c:pt idx="94">
                  <c:v>0.48</c:v>
                </c:pt>
                <c:pt idx="95">
                  <c:v>0.41</c:v>
                </c:pt>
                <c:pt idx="96">
                  <c:v>0.48</c:v>
                </c:pt>
                <c:pt idx="97">
                  <c:v>0.02</c:v>
                </c:pt>
                <c:pt idx="98">
                  <c:v>0.02</c:v>
                </c:pt>
                <c:pt idx="99">
                  <c:v>0.45</c:v>
                </c:pt>
                <c:pt idx="100">
                  <c:v>0.02</c:v>
                </c:pt>
                <c:pt idx="101">
                  <c:v>0.22</c:v>
                </c:pt>
                <c:pt idx="102">
                  <c:v>0.5</c:v>
                </c:pt>
                <c:pt idx="103">
                  <c:v>0.08</c:v>
                </c:pt>
                <c:pt idx="104">
                  <c:v>0.5</c:v>
                </c:pt>
                <c:pt idx="105">
                  <c:v>0.14000000000000001</c:v>
                </c:pt>
                <c:pt idx="106">
                  <c:v>0.43</c:v>
                </c:pt>
                <c:pt idx="107">
                  <c:v>0.37</c:v>
                </c:pt>
                <c:pt idx="108">
                  <c:v>0.43</c:v>
                </c:pt>
              </c:numCache>
            </c:numRef>
          </c:xVal>
          <c:yVal>
            <c:numRef>
              <c:f>'Trend and Relationship Analysis'!$E$4:$E$112</c:f>
              <c:numCache>
                <c:formatCode>General</c:formatCode>
                <c:ptCount val="109"/>
                <c:pt idx="0">
                  <c:v>2</c:v>
                </c:pt>
                <c:pt idx="1">
                  <c:v>39</c:v>
                </c:pt>
                <c:pt idx="2">
                  <c:v>2</c:v>
                </c:pt>
                <c:pt idx="3">
                  <c:v>13</c:v>
                </c:pt>
                <c:pt idx="4">
                  <c:v>12</c:v>
                </c:pt>
                <c:pt idx="5">
                  <c:v>69</c:v>
                </c:pt>
                <c:pt idx="6">
                  <c:v>0</c:v>
                </c:pt>
                <c:pt idx="7">
                  <c:v>5</c:v>
                </c:pt>
                <c:pt idx="8">
                  <c:v>55</c:v>
                </c:pt>
                <c:pt idx="9">
                  <c:v>0</c:v>
                </c:pt>
                <c:pt idx="10">
                  <c:v>0</c:v>
                </c:pt>
                <c:pt idx="11">
                  <c:v>15</c:v>
                </c:pt>
                <c:pt idx="12">
                  <c:v>0</c:v>
                </c:pt>
                <c:pt idx="13">
                  <c:v>0</c:v>
                </c:pt>
                <c:pt idx="14">
                  <c:v>0</c:v>
                </c:pt>
                <c:pt idx="15">
                  <c:v>0</c:v>
                </c:pt>
                <c:pt idx="16">
                  <c:v>5</c:v>
                </c:pt>
                <c:pt idx="17">
                  <c:v>7</c:v>
                </c:pt>
                <c:pt idx="18">
                  <c:v>44</c:v>
                </c:pt>
                <c:pt idx="19">
                  <c:v>0</c:v>
                </c:pt>
                <c:pt idx="20">
                  <c:v>13</c:v>
                </c:pt>
                <c:pt idx="21">
                  <c:v>0</c:v>
                </c:pt>
                <c:pt idx="22">
                  <c:v>12</c:v>
                </c:pt>
                <c:pt idx="23">
                  <c:v>0</c:v>
                </c:pt>
                <c:pt idx="24">
                  <c:v>0</c:v>
                </c:pt>
                <c:pt idx="25">
                  <c:v>6</c:v>
                </c:pt>
                <c:pt idx="26">
                  <c:v>20</c:v>
                </c:pt>
                <c:pt idx="27">
                  <c:v>32</c:v>
                </c:pt>
                <c:pt idx="28">
                  <c:v>20</c:v>
                </c:pt>
                <c:pt idx="29">
                  <c:v>0</c:v>
                </c:pt>
                <c:pt idx="30">
                  <c:v>13</c:v>
                </c:pt>
                <c:pt idx="31">
                  <c:v>0</c:v>
                </c:pt>
                <c:pt idx="32">
                  <c:v>0</c:v>
                </c:pt>
                <c:pt idx="33">
                  <c:v>0</c:v>
                </c:pt>
                <c:pt idx="34">
                  <c:v>0</c:v>
                </c:pt>
                <c:pt idx="35">
                  <c:v>6</c:v>
                </c:pt>
                <c:pt idx="36">
                  <c:v>0</c:v>
                </c:pt>
                <c:pt idx="37">
                  <c:v>0</c:v>
                </c:pt>
                <c:pt idx="38">
                  <c:v>17</c:v>
                </c:pt>
                <c:pt idx="39">
                  <c:v>0</c:v>
                </c:pt>
                <c:pt idx="40">
                  <c:v>2</c:v>
                </c:pt>
                <c:pt idx="41">
                  <c:v>6</c:v>
                </c:pt>
                <c:pt idx="42">
                  <c:v>0</c:v>
                </c:pt>
                <c:pt idx="43">
                  <c:v>0</c:v>
                </c:pt>
                <c:pt idx="44">
                  <c:v>1</c:v>
                </c:pt>
                <c:pt idx="45">
                  <c:v>0</c:v>
                </c:pt>
                <c:pt idx="46">
                  <c:v>0</c:v>
                </c:pt>
                <c:pt idx="47">
                  <c:v>0</c:v>
                </c:pt>
                <c:pt idx="48">
                  <c:v>0</c:v>
                </c:pt>
                <c:pt idx="49">
                  <c:v>0</c:v>
                </c:pt>
                <c:pt idx="50">
                  <c:v>0</c:v>
                </c:pt>
                <c:pt idx="51">
                  <c:v>0</c:v>
                </c:pt>
                <c:pt idx="52">
                  <c:v>2</c:v>
                </c:pt>
                <c:pt idx="53">
                  <c:v>0</c:v>
                </c:pt>
                <c:pt idx="54">
                  <c:v>0</c:v>
                </c:pt>
                <c:pt idx="55">
                  <c:v>0</c:v>
                </c:pt>
                <c:pt idx="56">
                  <c:v>2</c:v>
                </c:pt>
                <c:pt idx="57">
                  <c:v>1</c:v>
                </c:pt>
                <c:pt idx="58">
                  <c:v>7</c:v>
                </c:pt>
                <c:pt idx="59">
                  <c:v>49</c:v>
                </c:pt>
                <c:pt idx="60">
                  <c:v>9</c:v>
                </c:pt>
                <c:pt idx="61">
                  <c:v>14</c:v>
                </c:pt>
                <c:pt idx="62">
                  <c:v>12</c:v>
                </c:pt>
                <c:pt idx="63">
                  <c:v>1</c:v>
                </c:pt>
                <c:pt idx="64">
                  <c:v>15</c:v>
                </c:pt>
                <c:pt idx="65">
                  <c:v>1</c:v>
                </c:pt>
                <c:pt idx="66">
                  <c:v>5</c:v>
                </c:pt>
                <c:pt idx="67">
                  <c:v>7</c:v>
                </c:pt>
                <c:pt idx="68">
                  <c:v>3</c:v>
                </c:pt>
                <c:pt idx="69">
                  <c:v>6</c:v>
                </c:pt>
                <c:pt idx="70">
                  <c:v>5</c:v>
                </c:pt>
                <c:pt idx="71">
                  <c:v>0</c:v>
                </c:pt>
                <c:pt idx="72">
                  <c:v>9</c:v>
                </c:pt>
                <c:pt idx="73">
                  <c:v>6</c:v>
                </c:pt>
                <c:pt idx="74">
                  <c:v>0</c:v>
                </c:pt>
                <c:pt idx="75">
                  <c:v>5</c:v>
                </c:pt>
                <c:pt idx="76">
                  <c:v>1</c:v>
                </c:pt>
                <c:pt idx="77">
                  <c:v>14</c:v>
                </c:pt>
                <c:pt idx="78">
                  <c:v>0</c:v>
                </c:pt>
                <c:pt idx="79">
                  <c:v>0</c:v>
                </c:pt>
                <c:pt idx="80">
                  <c:v>9</c:v>
                </c:pt>
                <c:pt idx="81">
                  <c:v>0</c:v>
                </c:pt>
                <c:pt idx="82">
                  <c:v>0</c:v>
                </c:pt>
                <c:pt idx="83">
                  <c:v>0</c:v>
                </c:pt>
                <c:pt idx="84">
                  <c:v>10</c:v>
                </c:pt>
                <c:pt idx="85">
                  <c:v>0</c:v>
                </c:pt>
                <c:pt idx="86">
                  <c:v>0</c:v>
                </c:pt>
                <c:pt idx="87">
                  <c:v>2</c:v>
                </c:pt>
                <c:pt idx="88">
                  <c:v>0</c:v>
                </c:pt>
                <c:pt idx="89">
                  <c:v>0</c:v>
                </c:pt>
                <c:pt idx="90">
                  <c:v>5</c:v>
                </c:pt>
                <c:pt idx="91">
                  <c:v>24</c:v>
                </c:pt>
                <c:pt idx="92">
                  <c:v>0</c:v>
                </c:pt>
                <c:pt idx="93">
                  <c:v>12</c:v>
                </c:pt>
                <c:pt idx="94">
                  <c:v>0</c:v>
                </c:pt>
                <c:pt idx="95">
                  <c:v>36</c:v>
                </c:pt>
                <c:pt idx="96">
                  <c:v>0</c:v>
                </c:pt>
                <c:pt idx="97">
                  <c:v>0</c:v>
                </c:pt>
                <c:pt idx="98">
                  <c:v>0</c:v>
                </c:pt>
                <c:pt idx="99">
                  <c:v>0</c:v>
                </c:pt>
                <c:pt idx="100">
                  <c:v>0</c:v>
                </c:pt>
                <c:pt idx="101">
                  <c:v>16</c:v>
                </c:pt>
                <c:pt idx="102">
                  <c:v>0</c:v>
                </c:pt>
                <c:pt idx="103">
                  <c:v>0</c:v>
                </c:pt>
                <c:pt idx="104">
                  <c:v>1</c:v>
                </c:pt>
                <c:pt idx="105">
                  <c:v>0</c:v>
                </c:pt>
                <c:pt idx="106">
                  <c:v>6</c:v>
                </c:pt>
                <c:pt idx="107">
                  <c:v>7</c:v>
                </c:pt>
                <c:pt idx="108">
                  <c:v>5</c:v>
                </c:pt>
              </c:numCache>
            </c:numRef>
          </c:yVal>
          <c:smooth val="0"/>
          <c:extLst>
            <c:ext xmlns:c16="http://schemas.microsoft.com/office/drawing/2014/chart" uri="{C3380CC4-5D6E-409C-BE32-E72D297353CC}">
              <c16:uniqueId val="{00000000-8409-4000-8FC4-FFDE6778CBE8}"/>
            </c:ext>
          </c:extLst>
        </c:ser>
        <c:dLbls>
          <c:showLegendKey val="0"/>
          <c:showVal val="0"/>
          <c:showCatName val="0"/>
          <c:showSerName val="0"/>
          <c:showPercent val="0"/>
          <c:showBubbleSize val="0"/>
        </c:dLbls>
        <c:axId val="993351055"/>
        <c:axId val="993348143"/>
      </c:scatterChart>
      <c:valAx>
        <c:axId val="993351055"/>
        <c:scaling>
          <c:orientation val="minMax"/>
        </c:scaling>
        <c:delete val="0"/>
        <c:axPos val="b"/>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348143"/>
        <c:crosses val="autoZero"/>
        <c:crossBetween val="midCat"/>
      </c:valAx>
      <c:valAx>
        <c:axId val="99334814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351055"/>
        <c:crosses val="autoZero"/>
        <c:crossBetween val="midCat"/>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effectLst/>
              </a:rPr>
              <a:t>Ratings Versus Reviews</a:t>
            </a:r>
            <a:endParaRPr lang="en-US" sz="12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'Trend and Relationship Analysis'!$E$116</c:f>
              <c:strCache>
                <c:ptCount val="1"/>
                <c:pt idx="0">
                  <c:v>Sum of Review</c:v>
                </c:pt>
              </c:strCache>
            </c:strRef>
          </c:tx>
          <c:spPr>
            <a:solidFill>
              <a:schemeClr val="accent1"/>
            </a:solidFill>
            <a:ln>
              <a:noFill/>
            </a:ln>
            <a:effectLst/>
          </c:spPr>
          <c:invertIfNegative val="0"/>
          <c:cat>
            <c:numRef>
              <c:f>'Trend and Relationship Analysis'!$D$117:$D$138</c:f>
              <c:numCache>
                <c:formatCode>General</c:formatCode>
                <c:ptCount val="22"/>
                <c:pt idx="0">
                  <c:v>2</c:v>
                </c:pt>
                <c:pt idx="1">
                  <c:v>2.1</c:v>
                </c:pt>
                <c:pt idx="2">
                  <c:v>2.2000000000000002</c:v>
                </c:pt>
                <c:pt idx="3">
                  <c:v>2.2999999999999998</c:v>
                </c:pt>
                <c:pt idx="4">
                  <c:v>2.5</c:v>
                </c:pt>
                <c:pt idx="5">
                  <c:v>2.6</c:v>
                </c:pt>
                <c:pt idx="6">
                  <c:v>2.7</c:v>
                </c:pt>
                <c:pt idx="7">
                  <c:v>2.8</c:v>
                </c:pt>
                <c:pt idx="8">
                  <c:v>2.9</c:v>
                </c:pt>
                <c:pt idx="9">
                  <c:v>3</c:v>
                </c:pt>
                <c:pt idx="10">
                  <c:v>3.3</c:v>
                </c:pt>
                <c:pt idx="11">
                  <c:v>3.8</c:v>
                </c:pt>
                <c:pt idx="12">
                  <c:v>4</c:v>
                </c:pt>
                <c:pt idx="13">
                  <c:v>4.0999999999999996</c:v>
                </c:pt>
                <c:pt idx="14">
                  <c:v>4.2</c:v>
                </c:pt>
                <c:pt idx="15">
                  <c:v>4.3</c:v>
                </c:pt>
                <c:pt idx="16">
                  <c:v>4.4000000000000004</c:v>
                </c:pt>
                <c:pt idx="17">
                  <c:v>4.5</c:v>
                </c:pt>
                <c:pt idx="18">
                  <c:v>4.5999999999999996</c:v>
                </c:pt>
                <c:pt idx="19">
                  <c:v>4.7</c:v>
                </c:pt>
                <c:pt idx="20">
                  <c:v>4.8</c:v>
                </c:pt>
                <c:pt idx="21">
                  <c:v>5</c:v>
                </c:pt>
              </c:numCache>
            </c:numRef>
          </c:cat>
          <c:val>
            <c:numRef>
              <c:f>'Trend and Relationship Analysis'!$E$117:$E$138</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98B8-49A8-8421-EF36F2B8CCAD}"/>
            </c:ext>
          </c:extLst>
        </c:ser>
        <c:dLbls>
          <c:showLegendKey val="0"/>
          <c:showVal val="0"/>
          <c:showCatName val="0"/>
          <c:showSerName val="0"/>
          <c:showPercent val="0"/>
          <c:showBubbleSize val="0"/>
        </c:dLbls>
        <c:gapWidth val="219"/>
        <c:overlap val="-27"/>
        <c:axId val="1043327663"/>
        <c:axId val="1043316847"/>
      </c:barChart>
      <c:catAx>
        <c:axId val="10433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16847"/>
        <c:crosses val="autoZero"/>
        <c:auto val="1"/>
        <c:lblAlgn val="ctr"/>
        <c:lblOffset val="100"/>
        <c:noMultiLvlLbl val="0"/>
      </c:catAx>
      <c:valAx>
        <c:axId val="104331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27663"/>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95250</xdr:colOff>
      <xdr:row>2</xdr:row>
      <xdr:rowOff>138112</xdr:rowOff>
    </xdr:from>
    <xdr:to>
      <xdr:col>13</xdr:col>
      <xdr:colOff>400050</xdr:colOff>
      <xdr:row>17</xdr:row>
      <xdr:rowOff>23812</xdr:rowOff>
    </xdr:to>
    <xdr:graphicFrame macro="">
      <xdr:nvGraphicFramePr>
        <xdr:cNvPr id="7" name="Chart 6">
          <a:extLst>
            <a:ext uri="{FF2B5EF4-FFF2-40B4-BE49-F238E27FC236}">
              <a16:creationId xmlns:a16="http://schemas.microsoft.com/office/drawing/2014/main" id="{CB1A9322-7FD3-469A-8671-D078208A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116</xdr:row>
      <xdr:rowOff>128587</xdr:rowOff>
    </xdr:from>
    <xdr:to>
      <xdr:col>13</xdr:col>
      <xdr:colOff>314325</xdr:colOff>
      <xdr:row>131</xdr:row>
      <xdr:rowOff>14287</xdr:rowOff>
    </xdr:to>
    <xdr:graphicFrame macro="">
      <xdr:nvGraphicFramePr>
        <xdr:cNvPr id="10" name="Chart 9">
          <a:extLst>
            <a:ext uri="{FF2B5EF4-FFF2-40B4-BE49-F238E27FC236}">
              <a16:creationId xmlns:a16="http://schemas.microsoft.com/office/drawing/2014/main" id="{83974EE5-1C45-431D-BDD0-780778E62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xdr:colOff>
      <xdr:row>6</xdr:row>
      <xdr:rowOff>0</xdr:rowOff>
    </xdr:from>
    <xdr:to>
      <xdr:col>5</xdr:col>
      <xdr:colOff>1</xdr:colOff>
      <xdr:row>7</xdr:row>
      <xdr:rowOff>104775</xdr:rowOff>
    </xdr:to>
    <xdr:sp macro="" textlink="">
      <xdr:nvSpPr>
        <xdr:cNvPr id="16" name="Rectangle 15">
          <a:extLst>
            <a:ext uri="{FF2B5EF4-FFF2-40B4-BE49-F238E27FC236}">
              <a16:creationId xmlns:a16="http://schemas.microsoft.com/office/drawing/2014/main" id="{5BB40B4D-75BF-41B0-8E6B-0DEC5E2CE4F2}"/>
            </a:ext>
          </a:extLst>
        </xdr:cNvPr>
        <xdr:cNvSpPr/>
      </xdr:nvSpPr>
      <xdr:spPr>
        <a:xfrm>
          <a:off x="1828801" y="1143000"/>
          <a:ext cx="3810000" cy="295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Top Products By Number</a:t>
          </a:r>
          <a:r>
            <a:rPr lang="en-US" sz="1400" b="1" baseline="0">
              <a:solidFill>
                <a:schemeClr val="lt1"/>
              </a:solidFill>
              <a:latin typeface="+mn-lt"/>
              <a:ea typeface="+mn-ea"/>
              <a:cs typeface="+mn-cs"/>
            </a:rPr>
            <a:t> of Reviews</a:t>
          </a:r>
          <a:endParaRPr lang="en-US" sz="1400" b="1">
            <a:solidFill>
              <a:schemeClr val="lt1"/>
            </a:solidFill>
            <a:latin typeface="+mn-lt"/>
            <a:ea typeface="+mn-ea"/>
            <a:cs typeface="+mn-cs"/>
          </a:endParaRPr>
        </a:p>
      </xdr:txBody>
    </xdr:sp>
    <xdr:clientData/>
  </xdr:twoCellAnchor>
  <xdr:twoCellAnchor editAs="absolute">
    <xdr:from>
      <xdr:col>6</xdr:col>
      <xdr:colOff>0</xdr:colOff>
      <xdr:row>6</xdr:row>
      <xdr:rowOff>0</xdr:rowOff>
    </xdr:from>
    <xdr:to>
      <xdr:col>8</xdr:col>
      <xdr:colOff>0</xdr:colOff>
      <xdr:row>7</xdr:row>
      <xdr:rowOff>104775</xdr:rowOff>
    </xdr:to>
    <xdr:sp macro="" textlink="">
      <xdr:nvSpPr>
        <xdr:cNvPr id="20" name="Rectangle 19">
          <a:extLst>
            <a:ext uri="{FF2B5EF4-FFF2-40B4-BE49-F238E27FC236}">
              <a16:creationId xmlns:a16="http://schemas.microsoft.com/office/drawing/2014/main" id="{A13B6E73-0A3D-46DC-A50A-A5E2457F3FD4}"/>
            </a:ext>
          </a:extLst>
        </xdr:cNvPr>
        <xdr:cNvSpPr/>
      </xdr:nvSpPr>
      <xdr:spPr>
        <a:xfrm>
          <a:off x="5753100" y="1143000"/>
          <a:ext cx="3876675" cy="295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Top Products By Discount</a:t>
          </a:r>
          <a:r>
            <a:rPr lang="en-US" sz="1400" b="1" baseline="0">
              <a:solidFill>
                <a:schemeClr val="lt1"/>
              </a:solidFill>
              <a:latin typeface="+mn-lt"/>
              <a:ea typeface="+mn-ea"/>
              <a:cs typeface="+mn-cs"/>
            </a:rPr>
            <a:t> %</a:t>
          </a:r>
          <a:endParaRPr lang="en-US" sz="1400" b="1">
            <a:solidFill>
              <a:schemeClr val="lt1"/>
            </a:solidFill>
            <a:latin typeface="+mn-lt"/>
            <a:ea typeface="+mn-ea"/>
            <a:cs typeface="+mn-cs"/>
          </a:endParaRPr>
        </a:p>
      </xdr:txBody>
    </xdr:sp>
    <xdr:clientData/>
  </xdr:twoCellAnchor>
  <xdr:twoCellAnchor>
    <xdr:from>
      <xdr:col>0</xdr:col>
      <xdr:colOff>0</xdr:colOff>
      <xdr:row>6</xdr:row>
      <xdr:rowOff>76257</xdr:rowOff>
    </xdr:from>
    <xdr:to>
      <xdr:col>2</xdr:col>
      <xdr:colOff>514306</xdr:colOff>
      <xdr:row>25</xdr:row>
      <xdr:rowOff>2</xdr:rowOff>
    </xdr:to>
    <xdr:sp macro="" textlink="">
      <xdr:nvSpPr>
        <xdr:cNvPr id="34" name="Rectangle 33">
          <a:extLst>
            <a:ext uri="{FF2B5EF4-FFF2-40B4-BE49-F238E27FC236}">
              <a16:creationId xmlns:a16="http://schemas.microsoft.com/office/drawing/2014/main" id="{4CAC519A-1C0D-45BC-A6D3-8DB115D7FFCB}"/>
            </a:ext>
          </a:extLst>
        </xdr:cNvPr>
        <xdr:cNvSpPr/>
      </xdr:nvSpPr>
      <xdr:spPr>
        <a:xfrm rot="16200000">
          <a:off x="-1202261" y="2421518"/>
          <a:ext cx="4146495" cy="17419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a:solidFill>
              <a:schemeClr val="lt1"/>
            </a:solidFill>
            <a:latin typeface="+mn-lt"/>
            <a:ea typeface="+mn-ea"/>
            <a:cs typeface="+mn-cs"/>
          </a:endParaRPr>
        </a:p>
      </xdr:txBody>
    </xdr:sp>
    <xdr:clientData/>
  </xdr:twoCellAnchor>
  <xdr:twoCellAnchor>
    <xdr:from>
      <xdr:col>0</xdr:col>
      <xdr:colOff>0</xdr:colOff>
      <xdr:row>6</xdr:row>
      <xdr:rowOff>0</xdr:rowOff>
    </xdr:from>
    <xdr:to>
      <xdr:col>2</xdr:col>
      <xdr:colOff>523874</xdr:colOff>
      <xdr:row>11</xdr:row>
      <xdr:rowOff>132351</xdr:rowOff>
    </xdr:to>
    <mc:AlternateContent xmlns:mc="http://schemas.openxmlformats.org/markup-compatibility/2006">
      <mc:Choice xmlns:a14="http://schemas.microsoft.com/office/drawing/2010/main" Requires="a14">
        <xdr:graphicFrame macro="">
          <xdr:nvGraphicFramePr>
            <xdr:cNvPr id="32" name="Rating Category 1">
              <a:extLst>
                <a:ext uri="{FF2B5EF4-FFF2-40B4-BE49-F238E27FC236}">
                  <a16:creationId xmlns:a16="http://schemas.microsoft.com/office/drawing/2014/main" id="{B13CE55E-80AF-416E-BE92-3087CE8F9FE6}"/>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0" y="1143000"/>
              <a:ext cx="1751541" cy="1487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387813</xdr:rowOff>
    </xdr:from>
    <xdr:to>
      <xdr:col>2</xdr:col>
      <xdr:colOff>523874</xdr:colOff>
      <xdr:row>18</xdr:row>
      <xdr:rowOff>159137</xdr:rowOff>
    </xdr:to>
    <mc:AlternateContent xmlns:mc="http://schemas.openxmlformats.org/markup-compatibility/2006">
      <mc:Choice xmlns:a14="http://schemas.microsoft.com/office/drawing/2010/main" Requires="a14">
        <xdr:graphicFrame macro="">
          <xdr:nvGraphicFramePr>
            <xdr:cNvPr id="33" name="Discount Category 2">
              <a:extLst>
                <a:ext uri="{FF2B5EF4-FFF2-40B4-BE49-F238E27FC236}">
                  <a16:creationId xmlns:a16="http://schemas.microsoft.com/office/drawing/2014/main" id="{B32FA5CD-AEA0-4503-9897-936CE7822F31}"/>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dr:sp macro="" textlink="">
          <xdr:nvSpPr>
            <xdr:cNvPr id="0" name=""/>
            <xdr:cNvSpPr>
              <a:spLocks noTextEdit="1"/>
            </xdr:cNvSpPr>
          </xdr:nvSpPr>
          <xdr:spPr>
            <a:xfrm>
              <a:off x="0" y="2885480"/>
              <a:ext cx="1751541" cy="1305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0</xdr:colOff>
      <xdr:row>6</xdr:row>
      <xdr:rowOff>0</xdr:rowOff>
    </xdr:from>
    <xdr:to>
      <xdr:col>11</xdr:col>
      <xdr:colOff>0</xdr:colOff>
      <xdr:row>7</xdr:row>
      <xdr:rowOff>104775</xdr:rowOff>
    </xdr:to>
    <xdr:sp macro="" textlink="">
      <xdr:nvSpPr>
        <xdr:cNvPr id="35" name="Rectangle 34">
          <a:extLst>
            <a:ext uri="{FF2B5EF4-FFF2-40B4-BE49-F238E27FC236}">
              <a16:creationId xmlns:a16="http://schemas.microsoft.com/office/drawing/2014/main" id="{383FEB72-DC53-4CA8-8B24-BE8E4D0B1240}"/>
            </a:ext>
          </a:extLst>
        </xdr:cNvPr>
        <xdr:cNvSpPr/>
      </xdr:nvSpPr>
      <xdr:spPr>
        <a:xfrm>
          <a:off x="9744075" y="1143000"/>
          <a:ext cx="3914775" cy="295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Top Products By Rating</a:t>
          </a:r>
        </a:p>
      </xdr:txBody>
    </xdr:sp>
    <xdr:clientData/>
  </xdr:twoCellAnchor>
  <xdr:twoCellAnchor editAs="absolute">
    <xdr:from>
      <xdr:col>0</xdr:col>
      <xdr:colOff>1</xdr:colOff>
      <xdr:row>0</xdr:row>
      <xdr:rowOff>0</xdr:rowOff>
    </xdr:from>
    <xdr:to>
      <xdr:col>11</xdr:col>
      <xdr:colOff>0</xdr:colOff>
      <xdr:row>4</xdr:row>
      <xdr:rowOff>180975</xdr:rowOff>
    </xdr:to>
    <xdr:sp macro="" textlink="">
      <xdr:nvSpPr>
        <xdr:cNvPr id="2" name="Rectangle 1">
          <a:extLst>
            <a:ext uri="{FF2B5EF4-FFF2-40B4-BE49-F238E27FC236}">
              <a16:creationId xmlns:a16="http://schemas.microsoft.com/office/drawing/2014/main" id="{9FA69F9E-FCC0-48D9-BFB6-BB686DA51212}"/>
            </a:ext>
          </a:extLst>
        </xdr:cNvPr>
        <xdr:cNvSpPr>
          <a:spLocks/>
        </xdr:cNvSpPr>
      </xdr:nvSpPr>
      <xdr:spPr>
        <a:xfrm>
          <a:off x="1" y="0"/>
          <a:ext cx="13658849" cy="942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JUMIA PRODUCT PERFORMANCE DASHBOARD</a:t>
          </a:r>
        </a:p>
        <a:p>
          <a:pPr algn="l"/>
          <a:r>
            <a:rPr lang="en-US" sz="1100" b="0" i="1"/>
            <a:t>Analyzing Pricing, Discounts, and Customer Reviews</a:t>
          </a:r>
        </a:p>
      </xdr:txBody>
    </xdr:sp>
    <xdr:clientData/>
  </xdr:twoCellAnchor>
  <xdr:twoCellAnchor editAs="absolute">
    <xdr:from>
      <xdr:col>6</xdr:col>
      <xdr:colOff>597779</xdr:colOff>
      <xdr:row>0</xdr:row>
      <xdr:rowOff>95249</xdr:rowOff>
    </xdr:from>
    <xdr:to>
      <xdr:col>6</xdr:col>
      <xdr:colOff>2085642</xdr:colOff>
      <xdr:row>4</xdr:row>
      <xdr:rowOff>85724</xdr:rowOff>
    </xdr:to>
    <xdr:grpSp>
      <xdr:nvGrpSpPr>
        <xdr:cNvPr id="44" name="Group 43">
          <a:extLst>
            <a:ext uri="{FF2B5EF4-FFF2-40B4-BE49-F238E27FC236}">
              <a16:creationId xmlns:a16="http://schemas.microsoft.com/office/drawing/2014/main" id="{73BE66B9-1498-459D-8C5F-6C54915D7C1C}"/>
            </a:ext>
          </a:extLst>
        </xdr:cNvPr>
        <xdr:cNvGrpSpPr>
          <a:grpSpLocks/>
        </xdr:cNvGrpSpPr>
      </xdr:nvGrpSpPr>
      <xdr:grpSpPr>
        <a:xfrm>
          <a:off x="6365696" y="95249"/>
          <a:ext cx="1487863" cy="752475"/>
          <a:chOff x="6057900" y="95249"/>
          <a:chExt cx="1419225" cy="752475"/>
        </a:xfrm>
      </xdr:grpSpPr>
      <xdr:sp macro="" textlink="">
        <xdr:nvSpPr>
          <xdr:cNvPr id="3" name="Rectangle: Rounded Corners 2">
            <a:extLst>
              <a:ext uri="{FF2B5EF4-FFF2-40B4-BE49-F238E27FC236}">
                <a16:creationId xmlns:a16="http://schemas.microsoft.com/office/drawing/2014/main" id="{7287A054-8619-4D58-8E37-8448847BCD0E}"/>
              </a:ext>
            </a:extLst>
          </xdr:cNvPr>
          <xdr:cNvSpPr/>
        </xdr:nvSpPr>
        <xdr:spPr>
          <a:xfrm>
            <a:off x="6057900" y="95249"/>
            <a:ext cx="1419225" cy="752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Total Products</a:t>
            </a:r>
          </a:p>
        </xdr:txBody>
      </xdr:sp>
      <xdr:sp macro="" textlink="'Descriptive Analysis'!$A$2">
        <xdr:nvSpPr>
          <xdr:cNvPr id="36" name="TextBox 35">
            <a:extLst>
              <a:ext uri="{FF2B5EF4-FFF2-40B4-BE49-F238E27FC236}">
                <a16:creationId xmlns:a16="http://schemas.microsoft.com/office/drawing/2014/main" id="{42FD9DA6-D019-407F-8837-6A8FAD3012E4}"/>
              </a:ext>
            </a:extLst>
          </xdr:cNvPr>
          <xdr:cNvSpPr txBox="1"/>
        </xdr:nvSpPr>
        <xdr:spPr>
          <a:xfrm>
            <a:off x="6324600" y="361949"/>
            <a:ext cx="1019175" cy="314325"/>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14EF55-B2A4-44FD-88F9-7526917AEE40}" type="TxLink">
              <a:rPr lang="en-US" sz="1600" b="0" i="1" u="none" strike="noStrike">
                <a:solidFill>
                  <a:schemeClr val="bg1"/>
                </a:solidFill>
                <a:latin typeface="Calibri"/>
                <a:ea typeface="Calibri"/>
                <a:cs typeface="Calibri"/>
              </a:rPr>
              <a:t> 109 </a:t>
            </a:fld>
            <a:endParaRPr lang="en-US" sz="1600" b="0" i="1">
              <a:solidFill>
                <a:schemeClr val="bg1"/>
              </a:solidFill>
            </a:endParaRPr>
          </a:p>
        </xdr:txBody>
      </xdr:sp>
    </xdr:grpSp>
    <xdr:clientData/>
  </xdr:twoCellAnchor>
  <xdr:twoCellAnchor editAs="absolute">
    <xdr:from>
      <xdr:col>6</xdr:col>
      <xdr:colOff>1955828</xdr:colOff>
      <xdr:row>0</xdr:row>
      <xdr:rowOff>95249</xdr:rowOff>
    </xdr:from>
    <xdr:to>
      <xdr:col>7</xdr:col>
      <xdr:colOff>252816</xdr:colOff>
      <xdr:row>4</xdr:row>
      <xdr:rowOff>85724</xdr:rowOff>
    </xdr:to>
    <xdr:grpSp>
      <xdr:nvGrpSpPr>
        <xdr:cNvPr id="45" name="Group 44">
          <a:extLst>
            <a:ext uri="{FF2B5EF4-FFF2-40B4-BE49-F238E27FC236}">
              <a16:creationId xmlns:a16="http://schemas.microsoft.com/office/drawing/2014/main" id="{03E39007-3811-4CB7-9311-D60A0B9156BC}"/>
            </a:ext>
          </a:extLst>
        </xdr:cNvPr>
        <xdr:cNvGrpSpPr>
          <a:grpSpLocks/>
        </xdr:cNvGrpSpPr>
      </xdr:nvGrpSpPr>
      <xdr:grpSpPr>
        <a:xfrm>
          <a:off x="7723745" y="95249"/>
          <a:ext cx="1493154" cy="752475"/>
          <a:chOff x="7353300" y="95249"/>
          <a:chExt cx="1419225" cy="752475"/>
        </a:xfrm>
      </xdr:grpSpPr>
      <xdr:sp macro="" textlink="">
        <xdr:nvSpPr>
          <xdr:cNvPr id="28" name="Rectangle: Rounded Corners 27">
            <a:extLst>
              <a:ext uri="{FF2B5EF4-FFF2-40B4-BE49-F238E27FC236}">
                <a16:creationId xmlns:a16="http://schemas.microsoft.com/office/drawing/2014/main" id="{2A70A59D-9CAC-4E2B-A566-FDCFF7B16CD0}"/>
              </a:ext>
            </a:extLst>
          </xdr:cNvPr>
          <xdr:cNvSpPr/>
        </xdr:nvSpPr>
        <xdr:spPr>
          <a:xfrm>
            <a:off x="7353300" y="95249"/>
            <a:ext cx="1419225" cy="752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Total Reviews</a:t>
            </a:r>
          </a:p>
        </xdr:txBody>
      </xdr:sp>
      <xdr:sp macro="" textlink="'Descriptive Analysis'!$B$2">
        <xdr:nvSpPr>
          <xdr:cNvPr id="41" name="TextBox 40">
            <a:extLst>
              <a:ext uri="{FF2B5EF4-FFF2-40B4-BE49-F238E27FC236}">
                <a16:creationId xmlns:a16="http://schemas.microsoft.com/office/drawing/2014/main" id="{5DBBC76D-BCF4-4508-B63B-0FECF7704256}"/>
              </a:ext>
            </a:extLst>
          </xdr:cNvPr>
          <xdr:cNvSpPr txBox="1"/>
        </xdr:nvSpPr>
        <xdr:spPr>
          <a:xfrm>
            <a:off x="7534275" y="352424"/>
            <a:ext cx="1019175" cy="314325"/>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DA887B-92B0-4409-B872-54894E94C97C}" type="TxLink">
              <a:rPr lang="en-US" sz="1600" b="0" i="1" u="none" strike="noStrike">
                <a:solidFill>
                  <a:schemeClr val="bg1"/>
                </a:solidFill>
                <a:latin typeface="Calibri"/>
                <a:ea typeface="Calibri"/>
                <a:cs typeface="Calibri"/>
              </a:rPr>
              <a:t> 723 </a:t>
            </a:fld>
            <a:endParaRPr lang="en-US" sz="1600" i="1">
              <a:solidFill>
                <a:schemeClr val="bg1"/>
              </a:solidFill>
            </a:endParaRPr>
          </a:p>
        </xdr:txBody>
      </xdr:sp>
    </xdr:grpSp>
    <xdr:clientData/>
  </xdr:twoCellAnchor>
  <xdr:twoCellAnchor editAs="absolute">
    <xdr:from>
      <xdr:col>7</xdr:col>
      <xdr:colOff>142974</xdr:colOff>
      <xdr:row>0</xdr:row>
      <xdr:rowOff>95249</xdr:rowOff>
    </xdr:from>
    <xdr:to>
      <xdr:col>9</xdr:col>
      <xdr:colOff>970536</xdr:colOff>
      <xdr:row>4</xdr:row>
      <xdr:rowOff>85724</xdr:rowOff>
    </xdr:to>
    <xdr:grpSp>
      <xdr:nvGrpSpPr>
        <xdr:cNvPr id="46" name="Group 45">
          <a:extLst>
            <a:ext uri="{FF2B5EF4-FFF2-40B4-BE49-F238E27FC236}">
              <a16:creationId xmlns:a16="http://schemas.microsoft.com/office/drawing/2014/main" id="{4BA8A1A1-7808-49EE-9AB5-1EB836540D23}"/>
            </a:ext>
          </a:extLst>
        </xdr:cNvPr>
        <xdr:cNvGrpSpPr>
          <a:grpSpLocks/>
        </xdr:cNvGrpSpPr>
      </xdr:nvGrpSpPr>
      <xdr:grpSpPr>
        <a:xfrm>
          <a:off x="9107057" y="95249"/>
          <a:ext cx="1631896" cy="752475"/>
          <a:chOff x="8667750" y="95249"/>
          <a:chExt cx="1571625" cy="752475"/>
        </a:xfrm>
      </xdr:grpSpPr>
      <xdr:sp macro="" textlink="">
        <xdr:nvSpPr>
          <xdr:cNvPr id="29" name="Rectangle: Rounded Corners 28">
            <a:extLst>
              <a:ext uri="{FF2B5EF4-FFF2-40B4-BE49-F238E27FC236}">
                <a16:creationId xmlns:a16="http://schemas.microsoft.com/office/drawing/2014/main" id="{317F23A5-3866-4E4E-BC49-01E9D054CB38}"/>
              </a:ext>
            </a:extLst>
          </xdr:cNvPr>
          <xdr:cNvSpPr/>
        </xdr:nvSpPr>
        <xdr:spPr>
          <a:xfrm>
            <a:off x="8667750" y="95249"/>
            <a:ext cx="1571625" cy="752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Average</a:t>
            </a:r>
            <a:r>
              <a:rPr lang="en-US" sz="1400" b="1" baseline="0">
                <a:solidFill>
                  <a:schemeClr val="lt1"/>
                </a:solidFill>
                <a:latin typeface="+mn-lt"/>
                <a:ea typeface="+mn-ea"/>
                <a:cs typeface="+mn-cs"/>
              </a:rPr>
              <a:t> Rating</a:t>
            </a:r>
            <a:endParaRPr lang="en-US" sz="1400" b="1">
              <a:solidFill>
                <a:schemeClr val="lt1"/>
              </a:solidFill>
              <a:latin typeface="+mn-lt"/>
              <a:ea typeface="+mn-ea"/>
              <a:cs typeface="+mn-cs"/>
            </a:endParaRPr>
          </a:p>
        </xdr:txBody>
      </xdr:sp>
      <xdr:sp macro="" textlink="'Descriptive Analysis'!$F$2">
        <xdr:nvSpPr>
          <xdr:cNvPr id="43" name="TextBox 42">
            <a:extLst>
              <a:ext uri="{FF2B5EF4-FFF2-40B4-BE49-F238E27FC236}">
                <a16:creationId xmlns:a16="http://schemas.microsoft.com/office/drawing/2014/main" id="{EA24FCBF-A345-4EA6-9CCB-93767BAA034C}"/>
              </a:ext>
            </a:extLst>
          </xdr:cNvPr>
          <xdr:cNvSpPr txBox="1"/>
        </xdr:nvSpPr>
        <xdr:spPr>
          <a:xfrm>
            <a:off x="8791692" y="333374"/>
            <a:ext cx="1019175" cy="314325"/>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E0AB47-C2BE-4431-BA86-9CAAC8C84F90}" type="TxLink">
              <a:rPr lang="en-US" sz="1600" b="0" i="1" u="none" strike="noStrike">
                <a:solidFill>
                  <a:schemeClr val="bg1"/>
                </a:solidFill>
                <a:latin typeface="Calibri"/>
                <a:ea typeface="Calibri"/>
                <a:cs typeface="Calibri"/>
              </a:rPr>
              <a:t> 3.89 </a:t>
            </a:fld>
            <a:endParaRPr lang="en-US" sz="1600" i="1">
              <a:solidFill>
                <a:schemeClr val="bg1"/>
              </a:solidFill>
            </a:endParaRPr>
          </a:p>
        </xdr:txBody>
      </xdr:sp>
    </xdr:grpSp>
    <xdr:clientData/>
  </xdr:twoCellAnchor>
  <xdr:twoCellAnchor editAs="absolute">
    <xdr:from>
      <xdr:col>9</xdr:col>
      <xdr:colOff>890651</xdr:colOff>
      <xdr:row>0</xdr:row>
      <xdr:rowOff>95249</xdr:rowOff>
    </xdr:from>
    <xdr:to>
      <xdr:col>9</xdr:col>
      <xdr:colOff>2538285</xdr:colOff>
      <xdr:row>4</xdr:row>
      <xdr:rowOff>85724</xdr:rowOff>
    </xdr:to>
    <xdr:grpSp>
      <xdr:nvGrpSpPr>
        <xdr:cNvPr id="47" name="Group 46">
          <a:extLst>
            <a:ext uri="{FF2B5EF4-FFF2-40B4-BE49-F238E27FC236}">
              <a16:creationId xmlns:a16="http://schemas.microsoft.com/office/drawing/2014/main" id="{17FDBA04-A461-4F08-9F40-6D0A9755DB79}"/>
            </a:ext>
          </a:extLst>
        </xdr:cNvPr>
        <xdr:cNvGrpSpPr>
          <a:grpSpLocks/>
        </xdr:cNvGrpSpPr>
      </xdr:nvGrpSpPr>
      <xdr:grpSpPr>
        <a:xfrm>
          <a:off x="10659068" y="95249"/>
          <a:ext cx="1647634" cy="752475"/>
          <a:chOff x="10144125" y="95249"/>
          <a:chExt cx="1571625" cy="752475"/>
        </a:xfrm>
      </xdr:grpSpPr>
      <xdr:sp macro="" textlink="">
        <xdr:nvSpPr>
          <xdr:cNvPr id="31" name="Rectangle: Rounded Corners 30">
            <a:extLst>
              <a:ext uri="{FF2B5EF4-FFF2-40B4-BE49-F238E27FC236}">
                <a16:creationId xmlns:a16="http://schemas.microsoft.com/office/drawing/2014/main" id="{B510EAF4-F166-47A9-9AA2-5AAFBEE83A67}"/>
              </a:ext>
            </a:extLst>
          </xdr:cNvPr>
          <xdr:cNvSpPr/>
        </xdr:nvSpPr>
        <xdr:spPr>
          <a:xfrm>
            <a:off x="10144125" y="95249"/>
            <a:ext cx="1571625" cy="752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Average</a:t>
            </a:r>
            <a:r>
              <a:rPr lang="en-US" sz="1400" b="1" baseline="0">
                <a:solidFill>
                  <a:schemeClr val="lt1"/>
                </a:solidFill>
                <a:latin typeface="+mn-lt"/>
                <a:ea typeface="+mn-ea"/>
                <a:cs typeface="+mn-cs"/>
              </a:rPr>
              <a:t> Discount</a:t>
            </a:r>
            <a:endParaRPr lang="en-US" sz="1400" b="1">
              <a:solidFill>
                <a:schemeClr val="lt1"/>
              </a:solidFill>
              <a:latin typeface="+mn-lt"/>
              <a:ea typeface="+mn-ea"/>
              <a:cs typeface="+mn-cs"/>
            </a:endParaRPr>
          </a:p>
        </xdr:txBody>
      </xdr:sp>
      <xdr:sp macro="" textlink="'Descriptive Analysis'!$E$2">
        <xdr:nvSpPr>
          <xdr:cNvPr id="42" name="TextBox 41">
            <a:extLst>
              <a:ext uri="{FF2B5EF4-FFF2-40B4-BE49-F238E27FC236}">
                <a16:creationId xmlns:a16="http://schemas.microsoft.com/office/drawing/2014/main" id="{92271995-6D16-4490-9CF1-3E0909730643}"/>
              </a:ext>
            </a:extLst>
          </xdr:cNvPr>
          <xdr:cNvSpPr txBox="1"/>
        </xdr:nvSpPr>
        <xdr:spPr>
          <a:xfrm>
            <a:off x="10306050" y="333375"/>
            <a:ext cx="1028700" cy="314326"/>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6D5ED5-E418-4CA1-9A99-F19DC65BEE36}" type="TxLink">
              <a:rPr lang="en-US" sz="1600" b="0" i="0" u="none" strike="noStrike">
                <a:solidFill>
                  <a:schemeClr val="bg1"/>
                </a:solidFill>
                <a:latin typeface="Calibri"/>
                <a:ea typeface="Calibri"/>
                <a:cs typeface="Calibri"/>
              </a:rPr>
              <a:t>36.39%</a:t>
            </a:fld>
            <a:endParaRPr lang="en-US" sz="1600">
              <a:solidFill>
                <a:schemeClr val="bg1"/>
              </a:solidFill>
            </a:endParaRPr>
          </a:p>
        </xdr:txBody>
      </xdr:sp>
    </xdr:grpSp>
    <xdr:clientData/>
  </xdr:twoCellAnchor>
  <xdr:twoCellAnchor editAs="absolute">
    <xdr:from>
      <xdr:col>2</xdr:col>
      <xdr:colOff>609599</xdr:colOff>
      <xdr:row>13</xdr:row>
      <xdr:rowOff>0</xdr:rowOff>
    </xdr:from>
    <xdr:to>
      <xdr:col>6</xdr:col>
      <xdr:colOff>1724025</xdr:colOff>
      <xdr:row>25</xdr:row>
      <xdr:rowOff>0</xdr:rowOff>
    </xdr:to>
    <xdr:graphicFrame macro="">
      <xdr:nvGraphicFramePr>
        <xdr:cNvPr id="55" name="Chart 54">
          <a:extLst>
            <a:ext uri="{FF2B5EF4-FFF2-40B4-BE49-F238E27FC236}">
              <a16:creationId xmlns:a16="http://schemas.microsoft.com/office/drawing/2014/main" id="{AD55C4DE-F1B0-4890-BB9F-6CC9A7494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1926165</xdr:colOff>
      <xdr:row>13</xdr:row>
      <xdr:rowOff>0</xdr:rowOff>
    </xdr:from>
    <xdr:to>
      <xdr:col>10</xdr:col>
      <xdr:colOff>613832</xdr:colOff>
      <xdr:row>25</xdr:row>
      <xdr:rowOff>0</xdr:rowOff>
    </xdr:to>
    <xdr:graphicFrame macro="">
      <xdr:nvGraphicFramePr>
        <xdr:cNvPr id="58" name="Chart 57">
          <a:extLst>
            <a:ext uri="{FF2B5EF4-FFF2-40B4-BE49-F238E27FC236}">
              <a16:creationId xmlns:a16="http://schemas.microsoft.com/office/drawing/2014/main" id="{50AF09C1-2405-4C7F-B67B-E9CDDF58B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08.853845254627" createdVersion="7" refreshedVersion="7" minRefreshableVersion="3" recordCount="109" xr:uid="{6F34CAD5-3DE7-43AC-ADCE-6018AE5D59FB}">
  <cacheSource type="worksheet">
    <worksheetSource name="Table1"/>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 numFmtId="165">
      <sharedItems containsSemiMixedTypes="0" containsString="0" containsNumber="1" containsInteger="1" minValue="38" maxValue="3750" count="99">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2750"/>
        <n v="475"/>
        <n v="238"/>
        <n v="610"/>
        <n v="2132"/>
        <n v="999"/>
        <n v="1190"/>
        <n v="671"/>
        <n v="1200"/>
        <n v="199"/>
        <n v="299"/>
        <n v="1660"/>
        <n v="1459"/>
        <n v="499"/>
        <n v="699"/>
        <n v="2799"/>
        <n v="2170"/>
        <n v="458"/>
        <n v="2115"/>
        <n v="445"/>
        <n v="325"/>
        <n v="1220"/>
        <n v="1000"/>
        <n v="3750"/>
        <n v="382"/>
        <n v="2300"/>
        <n v="345"/>
        <n v="509"/>
        <n v="968"/>
        <n v="1570"/>
        <n v="790"/>
        <n v="690"/>
        <n v="1732"/>
        <n v="230"/>
        <n v="1189"/>
        <n v="979"/>
        <n v="1460"/>
        <n v="1666"/>
        <n v="330"/>
        <n v="1466"/>
        <n v="274"/>
        <n v="1468"/>
        <n v="630"/>
        <n v="850"/>
        <n v="1300"/>
        <n v="105"/>
        <n v="899"/>
        <n v="1526"/>
        <n v="1462"/>
        <n v="248"/>
        <n v="3546"/>
        <n v="525"/>
        <n v="1080"/>
        <n v="3640"/>
        <n v="1420"/>
        <n v="1875"/>
        <n v="198"/>
        <n v="1150"/>
        <n v="1658"/>
        <n v="1768"/>
        <n v="450"/>
        <n v="169"/>
      </sharedItems>
    </cacheField>
    <cacheField name="Old Price " numFmtId="165">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MixedTypes="1" containsNumber="1" containsInteger="1" minValue="1" maxValue="69" count="24">
        <n v="2"/>
        <n v="14"/>
        <n v="24"/>
        <n v="7"/>
        <n v="5"/>
        <n v="15"/>
        <n v="55"/>
        <n v="12"/>
        <n v="39"/>
        <n v="6"/>
        <n v="9"/>
        <n v="3"/>
        <n v="44"/>
        <n v="13"/>
        <s v="N/A"/>
        <n v="49"/>
        <n v="20"/>
        <n v="32"/>
        <n v="1"/>
        <n v="36"/>
        <n v="10"/>
        <n v="69"/>
        <n v="16"/>
        <n v="17"/>
      </sharedItems>
    </cacheField>
    <cacheField name="Ratings" numFmtId="0">
      <sharedItems containsMixedTypes="1" containsNumber="1" minValue="2" maxValue="5" count="23">
        <n v="4.5"/>
        <n v="4.0999999999999996"/>
        <n v="4.5999999999999996"/>
        <n v="4.7"/>
        <n v="4.8"/>
        <n v="4"/>
        <n v="3.8"/>
        <n v="4.2"/>
        <n v="5"/>
        <n v="3.3"/>
        <s v="N/A"/>
        <n v="4.4000000000000004"/>
        <n v="4.3"/>
        <n v="2.5"/>
        <n v="3"/>
        <n v="2.1"/>
        <n v="2.8"/>
        <n v="2.7"/>
        <n v="2.9"/>
        <n v="2.2000000000000002"/>
        <n v="2.2999999999999998"/>
        <n v="2.6"/>
        <n v="2"/>
      </sharedItems>
    </cacheField>
    <cacheField name="Discount Amount (KSh) " numFmtId="0">
      <sharedItems containsSemiMixedTypes="0" containsString="0" containsNumber="1" containsInteger="1" minValue="24" maxValue="2585"/>
    </cacheField>
    <cacheField name="Rating Category" numFmtId="0">
      <sharedItems count="4">
        <s v="Excellent"/>
        <s v="Average"/>
        <s v="N/A"/>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810421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n v="1525"/>
    <x v="0"/>
    <x v="0"/>
    <x v="0"/>
    <n v="575"/>
    <x v="0"/>
    <x v="0"/>
  </r>
  <r>
    <x v="1"/>
    <x v="1"/>
    <n v="999"/>
    <x v="1"/>
    <x v="1"/>
    <x v="1"/>
    <n v="472"/>
    <x v="1"/>
    <x v="1"/>
  </r>
  <r>
    <x v="2"/>
    <x v="2"/>
    <n v="2923"/>
    <x v="2"/>
    <x v="2"/>
    <x v="2"/>
    <n v="724"/>
    <x v="0"/>
    <x v="0"/>
  </r>
  <r>
    <x v="3"/>
    <x v="3"/>
    <n v="2499"/>
    <x v="3"/>
    <x v="3"/>
    <x v="3"/>
    <n v="919"/>
    <x v="0"/>
    <x v="0"/>
  </r>
  <r>
    <x v="4"/>
    <x v="4"/>
    <n v="2356"/>
    <x v="4"/>
    <x v="4"/>
    <x v="4"/>
    <n v="616"/>
    <x v="0"/>
    <x v="0"/>
  </r>
  <r>
    <x v="5"/>
    <x v="5"/>
    <n v="3290"/>
    <x v="5"/>
    <x v="5"/>
    <x v="5"/>
    <n v="291"/>
    <x v="1"/>
    <x v="2"/>
  </r>
  <r>
    <x v="6"/>
    <x v="6"/>
    <n v="3032"/>
    <x v="6"/>
    <x v="6"/>
    <x v="2"/>
    <n v="713"/>
    <x v="0"/>
    <x v="0"/>
  </r>
  <r>
    <x v="7"/>
    <x v="7"/>
    <n v="1580"/>
    <x v="3"/>
    <x v="0"/>
    <x v="5"/>
    <n v="592"/>
    <x v="1"/>
    <x v="0"/>
  </r>
  <r>
    <x v="8"/>
    <x v="8"/>
    <n v="2800"/>
    <x v="7"/>
    <x v="4"/>
    <x v="4"/>
    <n v="1526"/>
    <x v="0"/>
    <x v="1"/>
  </r>
  <r>
    <x v="9"/>
    <x v="9"/>
    <n v="2929"/>
    <x v="8"/>
    <x v="4"/>
    <x v="6"/>
    <n v="1329"/>
    <x v="1"/>
    <x v="1"/>
  </r>
  <r>
    <x v="10"/>
    <x v="10"/>
    <n v="999"/>
    <x v="9"/>
    <x v="7"/>
    <x v="1"/>
    <n v="200"/>
    <x v="1"/>
    <x v="2"/>
  </r>
  <r>
    <x v="11"/>
    <x v="11"/>
    <n v="1500"/>
    <x v="10"/>
    <x v="8"/>
    <x v="3"/>
    <n v="510"/>
    <x v="0"/>
    <x v="0"/>
  </r>
  <r>
    <x v="12"/>
    <x v="12"/>
    <n v="1035"/>
    <x v="1"/>
    <x v="7"/>
    <x v="4"/>
    <n v="483"/>
    <x v="0"/>
    <x v="1"/>
  </r>
  <r>
    <x v="13"/>
    <x v="13"/>
    <n v="860"/>
    <x v="11"/>
    <x v="9"/>
    <x v="0"/>
    <n v="359"/>
    <x v="0"/>
    <x v="1"/>
  </r>
  <r>
    <x v="14"/>
    <x v="14"/>
    <n v="2499"/>
    <x v="12"/>
    <x v="10"/>
    <x v="7"/>
    <n v="819"/>
    <x v="1"/>
    <x v="0"/>
  </r>
  <r>
    <x v="15"/>
    <x v="15"/>
    <n v="684"/>
    <x v="13"/>
    <x v="0"/>
    <x v="8"/>
    <n v="352"/>
    <x v="0"/>
    <x v="1"/>
  </r>
  <r>
    <x v="16"/>
    <x v="16"/>
    <n v="360"/>
    <x v="14"/>
    <x v="0"/>
    <x v="8"/>
    <n v="165"/>
    <x v="0"/>
    <x v="1"/>
  </r>
  <r>
    <x v="17"/>
    <x v="17"/>
    <n v="3971"/>
    <x v="15"/>
    <x v="11"/>
    <x v="8"/>
    <n v="1946"/>
    <x v="0"/>
    <x v="1"/>
  </r>
  <r>
    <x v="18"/>
    <x v="5"/>
    <n v="3699"/>
    <x v="16"/>
    <x v="4"/>
    <x v="2"/>
    <n v="700"/>
    <x v="0"/>
    <x v="2"/>
  </r>
  <r>
    <x v="19"/>
    <x v="18"/>
    <n v="1966"/>
    <x v="15"/>
    <x v="12"/>
    <x v="2"/>
    <n v="968"/>
    <x v="0"/>
    <x v="1"/>
  </r>
  <r>
    <x v="20"/>
    <x v="19"/>
    <n v="80"/>
    <x v="17"/>
    <x v="13"/>
    <x v="9"/>
    <n v="42"/>
    <x v="1"/>
    <x v="1"/>
  </r>
  <r>
    <x v="21"/>
    <x v="20"/>
    <n v="3220"/>
    <x v="11"/>
    <x v="14"/>
    <x v="10"/>
    <n v="1360"/>
    <x v="2"/>
    <x v="1"/>
  </r>
  <r>
    <x v="22"/>
    <x v="21"/>
    <n v="1350"/>
    <x v="18"/>
    <x v="9"/>
    <x v="5"/>
    <n v="470"/>
    <x v="1"/>
    <x v="0"/>
  </r>
  <r>
    <x v="23"/>
    <x v="22"/>
    <n v="2150"/>
    <x v="19"/>
    <x v="1"/>
    <x v="11"/>
    <n v="500"/>
    <x v="1"/>
    <x v="0"/>
  </r>
  <r>
    <x v="24"/>
    <x v="23"/>
    <n v="4500"/>
    <x v="20"/>
    <x v="3"/>
    <x v="12"/>
    <n v="2452"/>
    <x v="1"/>
    <x v="1"/>
  </r>
  <r>
    <x v="25"/>
    <x v="24"/>
    <n v="647"/>
    <x v="18"/>
    <x v="15"/>
    <x v="2"/>
    <n v="227"/>
    <x v="0"/>
    <x v="0"/>
  </r>
  <r>
    <x v="26"/>
    <x v="25"/>
    <n v="3520"/>
    <x v="21"/>
    <x v="7"/>
    <x v="6"/>
    <n v="640"/>
    <x v="1"/>
    <x v="2"/>
  </r>
  <r>
    <x v="27"/>
    <x v="26"/>
    <n v="1990"/>
    <x v="22"/>
    <x v="13"/>
    <x v="6"/>
    <n v="640"/>
    <x v="1"/>
    <x v="0"/>
  </r>
  <r>
    <x v="28"/>
    <x v="27"/>
    <n v="2499"/>
    <x v="23"/>
    <x v="16"/>
    <x v="1"/>
    <n v="741"/>
    <x v="1"/>
    <x v="0"/>
  </r>
  <r>
    <x v="29"/>
    <x v="28"/>
    <n v="4080"/>
    <x v="14"/>
    <x v="14"/>
    <x v="10"/>
    <n v="1880"/>
    <x v="2"/>
    <x v="1"/>
  </r>
  <r>
    <x v="30"/>
    <x v="29"/>
    <n v="382"/>
    <x v="24"/>
    <x v="10"/>
    <x v="12"/>
    <n v="197"/>
    <x v="1"/>
    <x v="1"/>
  </r>
  <r>
    <x v="31"/>
    <x v="30"/>
    <n v="1490"/>
    <x v="10"/>
    <x v="7"/>
    <x v="3"/>
    <n v="510"/>
    <x v="0"/>
    <x v="0"/>
  </r>
  <r>
    <x v="32"/>
    <x v="31"/>
    <n v="3490"/>
    <x v="25"/>
    <x v="10"/>
    <x v="12"/>
    <n v="1670"/>
    <x v="1"/>
    <x v="1"/>
  </r>
  <r>
    <x v="33"/>
    <x v="32"/>
    <n v="2650"/>
    <x v="26"/>
    <x v="16"/>
    <x v="3"/>
    <n v="710"/>
    <x v="0"/>
    <x v="0"/>
  </r>
  <r>
    <x v="34"/>
    <x v="33"/>
    <n v="2699"/>
    <x v="26"/>
    <x v="17"/>
    <x v="0"/>
    <n v="719"/>
    <x v="0"/>
    <x v="0"/>
  </r>
  <r>
    <x v="35"/>
    <x v="34"/>
    <n v="2690"/>
    <x v="27"/>
    <x v="18"/>
    <x v="8"/>
    <n v="1070"/>
    <x v="0"/>
    <x v="0"/>
  </r>
  <r>
    <x v="36"/>
    <x v="35"/>
    <n v="360"/>
    <x v="17"/>
    <x v="0"/>
    <x v="8"/>
    <n v="189"/>
    <x v="0"/>
    <x v="1"/>
  </r>
  <r>
    <x v="37"/>
    <x v="36"/>
    <n v="656"/>
    <x v="28"/>
    <x v="19"/>
    <x v="12"/>
    <n v="267"/>
    <x v="1"/>
    <x v="1"/>
  </r>
  <r>
    <x v="38"/>
    <x v="33"/>
    <n v="3200"/>
    <x v="0"/>
    <x v="0"/>
    <x v="0"/>
    <n v="1220"/>
    <x v="0"/>
    <x v="0"/>
  </r>
  <r>
    <x v="39"/>
    <x v="37"/>
    <n v="4471"/>
    <x v="0"/>
    <x v="14"/>
    <x v="10"/>
    <n v="1721"/>
    <x v="2"/>
    <x v="0"/>
  </r>
  <r>
    <x v="40"/>
    <x v="38"/>
    <n v="931"/>
    <x v="15"/>
    <x v="14"/>
    <x v="10"/>
    <n v="456"/>
    <x v="2"/>
    <x v="1"/>
  </r>
  <r>
    <x v="41"/>
    <x v="39"/>
    <n v="476"/>
    <x v="29"/>
    <x v="14"/>
    <x v="10"/>
    <n v="238"/>
    <x v="2"/>
    <x v="1"/>
  </r>
  <r>
    <x v="42"/>
    <x v="40"/>
    <n v="1060"/>
    <x v="11"/>
    <x v="14"/>
    <x v="10"/>
    <n v="450"/>
    <x v="2"/>
    <x v="1"/>
  </r>
  <r>
    <x v="43"/>
    <x v="41"/>
    <n v="2169"/>
    <x v="30"/>
    <x v="14"/>
    <x v="10"/>
    <n v="37"/>
    <x v="2"/>
    <x v="2"/>
  </r>
  <r>
    <x v="44"/>
    <x v="42"/>
    <n v="2000"/>
    <x v="29"/>
    <x v="14"/>
    <x v="10"/>
    <n v="1001"/>
    <x v="2"/>
    <x v="1"/>
  </r>
  <r>
    <x v="45"/>
    <x v="43"/>
    <n v="1785"/>
    <x v="12"/>
    <x v="14"/>
    <x v="10"/>
    <n v="595"/>
    <x v="2"/>
    <x v="0"/>
  </r>
  <r>
    <x v="46"/>
    <x v="44"/>
    <n v="1316"/>
    <x v="15"/>
    <x v="14"/>
    <x v="10"/>
    <n v="645"/>
    <x v="2"/>
    <x v="1"/>
  </r>
  <r>
    <x v="47"/>
    <x v="45"/>
    <n v="1950"/>
    <x v="0"/>
    <x v="14"/>
    <x v="10"/>
    <n v="750"/>
    <x v="2"/>
    <x v="0"/>
  </r>
  <r>
    <x v="48"/>
    <x v="46"/>
    <n v="504"/>
    <x v="31"/>
    <x v="14"/>
    <x v="10"/>
    <n v="305"/>
    <x v="2"/>
    <x v="1"/>
  </r>
  <r>
    <x v="49"/>
    <x v="47"/>
    <n v="600"/>
    <x v="29"/>
    <x v="14"/>
    <x v="10"/>
    <n v="301"/>
    <x v="2"/>
    <x v="1"/>
  </r>
  <r>
    <x v="50"/>
    <x v="48"/>
    <n v="1699"/>
    <x v="30"/>
    <x v="14"/>
    <x v="10"/>
    <n v="39"/>
    <x v="2"/>
    <x v="2"/>
  </r>
  <r>
    <x v="51"/>
    <x v="47"/>
    <n v="384"/>
    <x v="32"/>
    <x v="14"/>
    <x v="10"/>
    <n v="85"/>
    <x v="2"/>
    <x v="0"/>
  </r>
  <r>
    <x v="52"/>
    <x v="49"/>
    <n v="1499"/>
    <x v="33"/>
    <x v="14"/>
    <x v="10"/>
    <n v="40"/>
    <x v="2"/>
    <x v="2"/>
  </r>
  <r>
    <x v="53"/>
    <x v="10"/>
    <n v="1343"/>
    <x v="28"/>
    <x v="14"/>
    <x v="10"/>
    <n v="544"/>
    <x v="2"/>
    <x v="1"/>
  </r>
  <r>
    <x v="54"/>
    <x v="50"/>
    <n v="900"/>
    <x v="8"/>
    <x v="14"/>
    <x v="10"/>
    <n v="401"/>
    <x v="2"/>
    <x v="1"/>
  </r>
  <r>
    <x v="55"/>
    <x v="51"/>
    <n v="1343"/>
    <x v="25"/>
    <x v="14"/>
    <x v="10"/>
    <n v="644"/>
    <x v="2"/>
    <x v="1"/>
  </r>
  <r>
    <x v="56"/>
    <x v="10"/>
    <n v="1567"/>
    <x v="15"/>
    <x v="14"/>
    <x v="10"/>
    <n v="768"/>
    <x v="2"/>
    <x v="1"/>
  </r>
  <r>
    <x v="57"/>
    <x v="52"/>
    <n v="3810"/>
    <x v="26"/>
    <x v="14"/>
    <x v="10"/>
    <n v="1011"/>
    <x v="2"/>
    <x v="0"/>
  </r>
  <r>
    <x v="58"/>
    <x v="53"/>
    <n v="2500"/>
    <x v="34"/>
    <x v="9"/>
    <x v="13"/>
    <n v="330"/>
    <x v="3"/>
    <x v="2"/>
  </r>
  <r>
    <x v="59"/>
    <x v="54"/>
    <n v="986"/>
    <x v="20"/>
    <x v="20"/>
    <x v="14"/>
    <n v="528"/>
    <x v="1"/>
    <x v="1"/>
  </r>
  <r>
    <x v="60"/>
    <x v="55"/>
    <n v="4700"/>
    <x v="7"/>
    <x v="13"/>
    <x v="15"/>
    <n v="2585"/>
    <x v="3"/>
    <x v="1"/>
  </r>
  <r>
    <x v="61"/>
    <x v="56"/>
    <n v="873"/>
    <x v="15"/>
    <x v="21"/>
    <x v="16"/>
    <n v="428"/>
    <x v="3"/>
    <x v="1"/>
  </r>
  <r>
    <x v="62"/>
    <x v="57"/>
    <n v="680"/>
    <x v="24"/>
    <x v="5"/>
    <x v="17"/>
    <n v="355"/>
    <x v="3"/>
    <x v="1"/>
  </r>
  <r>
    <x v="63"/>
    <x v="58"/>
    <n v="1555"/>
    <x v="32"/>
    <x v="22"/>
    <x v="18"/>
    <n v="335"/>
    <x v="3"/>
    <x v="0"/>
  </r>
  <r>
    <x v="64"/>
    <x v="11"/>
    <n v="1814"/>
    <x v="8"/>
    <x v="9"/>
    <x v="19"/>
    <n v="824"/>
    <x v="3"/>
    <x v="1"/>
  </r>
  <r>
    <x v="65"/>
    <x v="59"/>
    <n v="2000"/>
    <x v="29"/>
    <x v="3"/>
    <x v="20"/>
    <n v="1000"/>
    <x v="3"/>
    <x v="1"/>
  </r>
  <r>
    <x v="66"/>
    <x v="60"/>
    <n v="6143"/>
    <x v="35"/>
    <x v="4"/>
    <x v="14"/>
    <n v="2393"/>
    <x v="1"/>
    <x v="0"/>
  </r>
  <r>
    <x v="67"/>
    <x v="61"/>
    <n v="700"/>
    <x v="8"/>
    <x v="23"/>
    <x v="21"/>
    <n v="318"/>
    <x v="3"/>
    <x v="1"/>
  </r>
  <r>
    <x v="68"/>
    <x v="62"/>
    <n v="3240"/>
    <x v="36"/>
    <x v="4"/>
    <x v="14"/>
    <n v="940"/>
    <x v="1"/>
    <x v="0"/>
  </r>
  <r>
    <x v="69"/>
    <x v="63"/>
    <n v="602"/>
    <x v="37"/>
    <x v="9"/>
    <x v="20"/>
    <n v="257"/>
    <x v="3"/>
    <x v="1"/>
  </r>
  <r>
    <x v="70"/>
    <x v="64"/>
    <n v="899"/>
    <x v="37"/>
    <x v="4"/>
    <x v="14"/>
    <n v="390"/>
    <x v="1"/>
    <x v="1"/>
  </r>
  <r>
    <x v="71"/>
    <x v="65"/>
    <n v="1814"/>
    <x v="1"/>
    <x v="9"/>
    <x v="19"/>
    <n v="846"/>
    <x v="3"/>
    <x v="1"/>
  </r>
  <r>
    <x v="72"/>
    <x v="66"/>
    <n v="2988"/>
    <x v="1"/>
    <x v="3"/>
    <x v="15"/>
    <n v="1418"/>
    <x v="3"/>
    <x v="1"/>
  </r>
  <r>
    <x v="73"/>
    <x v="67"/>
    <n v="1485"/>
    <x v="1"/>
    <x v="14"/>
    <x v="10"/>
    <n v="695"/>
    <x v="2"/>
    <x v="1"/>
  </r>
  <r>
    <x v="74"/>
    <x v="68"/>
    <n v="1200"/>
    <x v="37"/>
    <x v="14"/>
    <x v="10"/>
    <n v="510"/>
    <x v="2"/>
    <x v="1"/>
  </r>
  <r>
    <x v="75"/>
    <x v="69"/>
    <n v="1799"/>
    <x v="38"/>
    <x v="14"/>
    <x v="10"/>
    <n v="67"/>
    <x v="2"/>
    <x v="2"/>
  </r>
  <r>
    <x v="76"/>
    <x v="70"/>
    <n v="450"/>
    <x v="15"/>
    <x v="14"/>
    <x v="10"/>
    <n v="220"/>
    <x v="2"/>
    <x v="1"/>
  </r>
  <r>
    <x v="77"/>
    <x v="71"/>
    <n v="2199"/>
    <x v="14"/>
    <x v="18"/>
    <x v="14"/>
    <n v="1010"/>
    <x v="1"/>
    <x v="1"/>
  </r>
  <r>
    <x v="78"/>
    <x v="72"/>
    <n v="1920"/>
    <x v="15"/>
    <x v="18"/>
    <x v="8"/>
    <n v="941"/>
    <x v="0"/>
    <x v="1"/>
  </r>
  <r>
    <x v="79"/>
    <x v="73"/>
    <n v="2290"/>
    <x v="39"/>
    <x v="14"/>
    <x v="10"/>
    <n v="830"/>
    <x v="2"/>
    <x v="0"/>
  </r>
  <r>
    <x v="80"/>
    <x v="74"/>
    <n v="1699"/>
    <x v="30"/>
    <x v="14"/>
    <x v="10"/>
    <n v="33"/>
    <x v="2"/>
    <x v="2"/>
  </r>
  <r>
    <x v="81"/>
    <x v="75"/>
    <n v="647"/>
    <x v="15"/>
    <x v="18"/>
    <x v="5"/>
    <n v="317"/>
    <x v="1"/>
    <x v="1"/>
  </r>
  <r>
    <x v="82"/>
    <x v="76"/>
    <n v="1699"/>
    <x v="40"/>
    <x v="14"/>
    <x v="10"/>
    <n v="233"/>
    <x v="2"/>
    <x v="2"/>
  </r>
  <r>
    <x v="83"/>
    <x v="77"/>
    <n v="537"/>
    <x v="15"/>
    <x v="14"/>
    <x v="10"/>
    <n v="263"/>
    <x v="2"/>
    <x v="1"/>
  </r>
  <r>
    <x v="84"/>
    <x v="10"/>
    <n v="900"/>
    <x v="41"/>
    <x v="14"/>
    <x v="10"/>
    <n v="101"/>
    <x v="2"/>
    <x v="2"/>
  </r>
  <r>
    <x v="85"/>
    <x v="78"/>
    <n v="1699"/>
    <x v="40"/>
    <x v="14"/>
    <x v="10"/>
    <n v="231"/>
    <x v="2"/>
    <x v="2"/>
  </r>
  <r>
    <x v="86"/>
    <x v="79"/>
    <n v="1100"/>
    <x v="37"/>
    <x v="14"/>
    <x v="10"/>
    <n v="470"/>
    <x v="2"/>
    <x v="1"/>
  </r>
  <r>
    <x v="87"/>
    <x v="80"/>
    <n v="1700"/>
    <x v="29"/>
    <x v="14"/>
    <x v="10"/>
    <n v="850"/>
    <x v="2"/>
    <x v="1"/>
  </r>
  <r>
    <x v="88"/>
    <x v="81"/>
    <n v="2500"/>
    <x v="25"/>
    <x v="14"/>
    <x v="10"/>
    <n v="1200"/>
    <x v="2"/>
    <x v="1"/>
  </r>
  <r>
    <x v="89"/>
    <x v="82"/>
    <n v="200"/>
    <x v="25"/>
    <x v="14"/>
    <x v="10"/>
    <n v="95"/>
    <x v="2"/>
    <x v="1"/>
  </r>
  <r>
    <x v="90"/>
    <x v="83"/>
    <n v="1699"/>
    <x v="1"/>
    <x v="14"/>
    <x v="10"/>
    <n v="800"/>
    <x v="2"/>
    <x v="1"/>
  </r>
  <r>
    <x v="91"/>
    <x v="45"/>
    <n v="2400"/>
    <x v="29"/>
    <x v="14"/>
    <x v="10"/>
    <n v="1200"/>
    <x v="2"/>
    <x v="1"/>
  </r>
  <r>
    <x v="92"/>
    <x v="84"/>
    <n v="1660"/>
    <x v="42"/>
    <x v="14"/>
    <x v="10"/>
    <n v="134"/>
    <x v="2"/>
    <x v="2"/>
  </r>
  <r>
    <x v="93"/>
    <x v="85"/>
    <n v="1499"/>
    <x v="30"/>
    <x v="14"/>
    <x v="10"/>
    <n v="37"/>
    <x v="2"/>
    <x v="2"/>
  </r>
  <r>
    <x v="94"/>
    <x v="86"/>
    <n v="486"/>
    <x v="15"/>
    <x v="14"/>
    <x v="10"/>
    <n v="238"/>
    <x v="2"/>
    <x v="1"/>
  </r>
  <r>
    <x v="95"/>
    <x v="87"/>
    <n v="3699"/>
    <x v="38"/>
    <x v="14"/>
    <x v="10"/>
    <n v="153"/>
    <x v="2"/>
    <x v="2"/>
  </r>
  <r>
    <x v="96"/>
    <x v="88"/>
    <n v="1029"/>
    <x v="15"/>
    <x v="14"/>
    <x v="10"/>
    <n v="504"/>
    <x v="2"/>
    <x v="1"/>
  </r>
  <r>
    <x v="97"/>
    <x v="89"/>
    <n v="1874"/>
    <x v="11"/>
    <x v="14"/>
    <x v="10"/>
    <n v="794"/>
    <x v="2"/>
    <x v="1"/>
  </r>
  <r>
    <x v="98"/>
    <x v="90"/>
    <n v="4588"/>
    <x v="43"/>
    <x v="18"/>
    <x v="8"/>
    <n v="948"/>
    <x v="0"/>
    <x v="0"/>
  </r>
  <r>
    <x v="99"/>
    <x v="91"/>
    <n v="2420"/>
    <x v="28"/>
    <x v="14"/>
    <x v="10"/>
    <n v="1000"/>
    <x v="2"/>
    <x v="1"/>
  </r>
  <r>
    <x v="100"/>
    <x v="92"/>
    <n v="1899"/>
    <x v="44"/>
    <x v="14"/>
    <x v="10"/>
    <n v="24"/>
    <x v="2"/>
    <x v="2"/>
  </r>
  <r>
    <x v="101"/>
    <x v="93"/>
    <n v="260"/>
    <x v="6"/>
    <x v="14"/>
    <x v="10"/>
    <n v="62"/>
    <x v="2"/>
    <x v="0"/>
  </r>
  <r>
    <x v="102"/>
    <x v="94"/>
    <n v="1737"/>
    <x v="10"/>
    <x v="14"/>
    <x v="10"/>
    <n v="587"/>
    <x v="2"/>
    <x v="0"/>
  </r>
  <r>
    <x v="103"/>
    <x v="43"/>
    <n v="1810"/>
    <x v="10"/>
    <x v="14"/>
    <x v="10"/>
    <n v="620"/>
    <x v="2"/>
    <x v="0"/>
  </r>
  <r>
    <x v="104"/>
    <x v="95"/>
    <n v="1699"/>
    <x v="30"/>
    <x v="14"/>
    <x v="10"/>
    <n v="41"/>
    <x v="2"/>
    <x v="2"/>
  </r>
  <r>
    <x v="105"/>
    <x v="96"/>
    <n v="1799"/>
    <x v="30"/>
    <x v="14"/>
    <x v="10"/>
    <n v="31"/>
    <x v="2"/>
    <x v="2"/>
  </r>
  <r>
    <x v="106"/>
    <x v="46"/>
    <n v="553"/>
    <x v="45"/>
    <x v="14"/>
    <x v="10"/>
    <n v="354"/>
    <x v="2"/>
    <x v="1"/>
  </r>
  <r>
    <x v="107"/>
    <x v="97"/>
    <n v="900"/>
    <x v="29"/>
    <x v="18"/>
    <x v="22"/>
    <n v="450"/>
    <x v="3"/>
    <x v="1"/>
  </r>
  <r>
    <x v="108"/>
    <x v="98"/>
    <n v="320"/>
    <x v="1"/>
    <x v="14"/>
    <x v="10"/>
    <n v="15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8ED51-C340-4BCC-96D1-B71E01FDAD4F}" name="PivotTable9"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Least Expensive Product">
  <location ref="A10:B12"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dataField="1" numFmtId="165" showAll="0">
      <items count="100">
        <item x="19"/>
        <item x="82"/>
        <item x="98"/>
        <item x="35"/>
        <item x="29"/>
        <item x="16"/>
        <item x="93"/>
        <item x="46"/>
        <item x="70"/>
        <item x="39"/>
        <item x="86"/>
        <item x="77"/>
        <item x="47"/>
        <item x="57"/>
        <item x="75"/>
        <item x="15"/>
        <item x="63"/>
        <item x="61"/>
        <item x="36"/>
        <item x="24"/>
        <item x="56"/>
        <item x="97"/>
        <item x="54"/>
        <item x="38"/>
        <item x="50"/>
        <item x="13"/>
        <item x="64"/>
        <item x="88"/>
        <item x="1"/>
        <item x="12"/>
        <item x="40"/>
        <item x="79"/>
        <item x="44"/>
        <item x="68"/>
        <item x="51"/>
        <item x="67"/>
        <item x="10"/>
        <item x="80"/>
        <item x="21"/>
        <item x="83"/>
        <item x="0"/>
        <item x="65"/>
        <item x="72"/>
        <item x="30"/>
        <item x="7"/>
        <item x="11"/>
        <item x="18"/>
        <item x="42"/>
        <item x="59"/>
        <item x="89"/>
        <item x="94"/>
        <item x="71"/>
        <item x="43"/>
        <item x="45"/>
        <item x="58"/>
        <item x="8"/>
        <item x="81"/>
        <item x="26"/>
        <item x="91"/>
        <item x="49"/>
        <item x="73"/>
        <item x="85"/>
        <item x="76"/>
        <item x="78"/>
        <item x="84"/>
        <item x="66"/>
        <item x="3"/>
        <item x="9"/>
        <item x="34"/>
        <item x="22"/>
        <item x="95"/>
        <item x="48"/>
        <item x="74"/>
        <item x="14"/>
        <item x="69"/>
        <item x="4"/>
        <item x="27"/>
        <item x="96"/>
        <item x="31"/>
        <item x="20"/>
        <item x="92"/>
        <item x="32"/>
        <item x="33"/>
        <item x="17"/>
        <item x="23"/>
        <item x="55"/>
        <item x="41"/>
        <item x="53"/>
        <item x="2"/>
        <item x="28"/>
        <item x="62"/>
        <item x="6"/>
        <item x="37"/>
        <item x="52"/>
        <item x="25"/>
        <item x="5"/>
        <item x="87"/>
        <item x="90"/>
        <item x="60"/>
        <item t="default"/>
      </items>
    </pivotField>
    <pivotField numFmtId="165" showAll="0"/>
    <pivotField numFmtId="9" showAll="0"/>
    <pivotField showAll="0"/>
    <pivotField showAll="0"/>
    <pivotField showAll="0"/>
    <pivotField showAll="0"/>
    <pivotField showAll="0"/>
  </pivotFields>
  <rowFields count="1">
    <field x="0"/>
  </rowFields>
  <rowItems count="2">
    <i>
      <x v="20"/>
    </i>
    <i t="grand">
      <x/>
    </i>
  </rowItems>
  <colItems count="1">
    <i/>
  </colItems>
  <dataFields count="1">
    <dataField name="Sum of Current Price " fld="1" baseField="0" baseItem="0"/>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6C7A25-98ED-4C1A-B692-9B45B3CDBCDE}" name="PivotTable8"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st  Expensive Product">
  <location ref="A5:B7"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dataField="1" numFmtId="165" showAll="0">
      <items count="100">
        <item x="19"/>
        <item x="82"/>
        <item x="98"/>
        <item x="35"/>
        <item x="29"/>
        <item x="16"/>
        <item x="93"/>
        <item x="46"/>
        <item x="70"/>
        <item x="39"/>
        <item x="86"/>
        <item x="77"/>
        <item x="47"/>
        <item x="57"/>
        <item x="75"/>
        <item x="15"/>
        <item x="63"/>
        <item x="61"/>
        <item x="36"/>
        <item x="24"/>
        <item x="56"/>
        <item x="97"/>
        <item x="54"/>
        <item x="38"/>
        <item x="50"/>
        <item x="13"/>
        <item x="64"/>
        <item x="88"/>
        <item x="1"/>
        <item x="12"/>
        <item x="40"/>
        <item x="79"/>
        <item x="44"/>
        <item x="68"/>
        <item x="51"/>
        <item x="67"/>
        <item x="10"/>
        <item x="80"/>
        <item x="21"/>
        <item x="83"/>
        <item x="0"/>
        <item x="65"/>
        <item x="72"/>
        <item x="30"/>
        <item x="7"/>
        <item x="11"/>
        <item x="18"/>
        <item x="42"/>
        <item x="59"/>
        <item x="89"/>
        <item x="94"/>
        <item x="71"/>
        <item x="43"/>
        <item x="45"/>
        <item x="58"/>
        <item x="8"/>
        <item x="81"/>
        <item x="26"/>
        <item x="91"/>
        <item x="49"/>
        <item x="73"/>
        <item x="85"/>
        <item x="76"/>
        <item x="78"/>
        <item x="84"/>
        <item x="66"/>
        <item x="3"/>
        <item x="9"/>
        <item x="34"/>
        <item x="22"/>
        <item x="95"/>
        <item x="48"/>
        <item x="74"/>
        <item x="14"/>
        <item x="69"/>
        <item x="4"/>
        <item x="27"/>
        <item x="96"/>
        <item x="31"/>
        <item x="20"/>
        <item x="92"/>
        <item x="32"/>
        <item x="33"/>
        <item x="17"/>
        <item x="23"/>
        <item x="55"/>
        <item x="41"/>
        <item x="53"/>
        <item x="2"/>
        <item x="28"/>
        <item x="62"/>
        <item x="6"/>
        <item x="37"/>
        <item x="52"/>
        <item x="25"/>
        <item x="5"/>
        <item x="87"/>
        <item x="90"/>
        <item x="60"/>
        <item t="default"/>
      </items>
    </pivotField>
    <pivotField numFmtId="165" showAll="0"/>
    <pivotField numFmtId="9" showAll="0"/>
    <pivotField showAll="0"/>
    <pivotField showAll="0"/>
    <pivotField showAll="0"/>
    <pivotField showAll="0"/>
    <pivotField showAll="0"/>
  </pivotFields>
  <rowFields count="1">
    <field x="0"/>
  </rowFields>
  <rowItems count="2">
    <i>
      <x v="16"/>
    </i>
    <i t="grand">
      <x/>
    </i>
  </rowItems>
  <colItems count="1">
    <i/>
  </colItems>
  <dataFields count="1">
    <dataField name="Sum of Current Price " fld="1"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7AF62F-97EB-40D0-BAD8-A9C7A8DAD96E}" name="PivotTable7"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ating category">
  <location ref="A29:B34" firstHeaderRow="1" firstDataRow="1"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numFmtId="9"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axis="axisRow" showAll="0">
      <items count="5">
        <item x="1"/>
        <item x="0"/>
        <item x="2"/>
        <item x="3"/>
        <item t="default"/>
      </items>
    </pivotField>
    <pivotField showAll="0">
      <items count="4">
        <item x="1"/>
        <item x="2"/>
        <item x="0"/>
        <item t="default"/>
      </items>
    </pivotField>
  </pivotFields>
  <rowFields count="1">
    <field x="7"/>
  </rowFields>
  <rowItems count="5">
    <i>
      <x/>
    </i>
    <i>
      <x v="1"/>
    </i>
    <i>
      <x v="2"/>
    </i>
    <i>
      <x v="3"/>
    </i>
    <i t="grand">
      <x/>
    </i>
  </rowItems>
  <colItems count="1">
    <i/>
  </colItems>
  <dataFields count="1">
    <dataField name="Count of Product" fld="0" subtotal="count" baseField="0" baseItem="0"/>
  </dataFields>
  <formats count="2">
    <format dxfId="421">
      <pivotArea grandRow="1" outline="0" collapsedLevelsAreSubtotals="1" fieldPosition="0"/>
    </format>
    <format dxfId="4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CED901-9279-4D11-B6DF-7C9F5D49963F}" name="PivotTable6"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iscount Category">
  <location ref="A15:B19"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dataField="1" numFmtId="9"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 axis="axisRow" showAll="0">
      <items count="4">
        <item x="1"/>
        <item x="2"/>
        <item x="0"/>
        <item t="default"/>
      </items>
    </pivotField>
  </pivotFields>
  <rowFields count="1">
    <field x="8"/>
  </rowFields>
  <rowItems count="4">
    <i>
      <x/>
    </i>
    <i>
      <x v="1"/>
    </i>
    <i>
      <x v="2"/>
    </i>
    <i t="grand">
      <x/>
    </i>
  </rowItems>
  <colItems count="1">
    <i/>
  </colItems>
  <dataFields count="1">
    <dataField name="Average of Discount" fld="3" subtotal="average" baseField="8" baseItem="2" numFmtId="9"/>
  </dataFields>
  <formats count="3">
    <format dxfId="415">
      <pivotArea collapsedLevelsAreSubtotals="1" fieldPosition="0">
        <references count="1">
          <reference field="8" count="0"/>
        </references>
      </pivotArea>
    </format>
    <format dxfId="416">
      <pivotArea grandRow="1" outline="0" collapsedLevelsAreSubtotals="1" fieldPosition="0"/>
    </format>
    <format dxfId="4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52B2C4-88DE-4CD7-8727-6A0CAF40139F}" name="PivotTable5"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iscount Category">
  <location ref="A22:B26"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numFmtId="9"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 axis="axisRow" showAll="0">
      <items count="4">
        <item x="1"/>
        <item x="2"/>
        <item x="0"/>
        <item t="default"/>
      </items>
    </pivotField>
  </pivotFields>
  <rowFields count="1">
    <field x="8"/>
  </rowFields>
  <rowItems count="4">
    <i>
      <x/>
    </i>
    <i>
      <x v="1"/>
    </i>
    <i>
      <x v="2"/>
    </i>
    <i t="grand">
      <x/>
    </i>
  </rowItems>
  <colItems count="1">
    <i/>
  </colItems>
  <dataFields count="1">
    <dataField name="Average of Ratings" fld="5" subtotal="average" baseField="8" baseItem="0"/>
  </dataFields>
  <formats count="2">
    <format dxfId="426">
      <pivotArea collapsedLevelsAreSubtotals="1" fieldPosition="0">
        <references count="1">
          <reference field="8" count="0"/>
        </references>
      </pivotArea>
    </format>
    <format dxfId="42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975CDB-83F4-4295-95A1-C2AAA2D38C2D}" name="PivotTable1"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F2" firstHeaderRow="0" firstDataRow="1" firstDataCol="0"/>
  <pivotFields count="9">
    <pivotField dataField="1" showAll="0"/>
    <pivotField dataField="1" numFmtId="165" showAll="0"/>
    <pivotField dataField="1" numFmtId="165" showAll="0"/>
    <pivotField dataField="1" numFmtId="9" showAll="0"/>
    <pivotField dataField="1" showAll="0"/>
    <pivotField dataField="1" showAll="0"/>
    <pivotField showAll="0"/>
    <pivotField showAll="0">
      <items count="5">
        <item x="1"/>
        <item x="0"/>
        <item x="2"/>
        <item x="3"/>
        <item t="default"/>
      </items>
    </pivotField>
    <pivotField showAll="0">
      <items count="4">
        <item x="1"/>
        <item x="2"/>
        <item x="0"/>
        <item t="default"/>
      </items>
    </pivotField>
  </pivotFields>
  <rowItems count="1">
    <i/>
  </rowItems>
  <colFields count="1">
    <field x="-2"/>
  </colFields>
  <colItems count="6">
    <i>
      <x/>
    </i>
    <i i="1">
      <x v="1"/>
    </i>
    <i i="2">
      <x v="2"/>
    </i>
    <i i="3">
      <x v="3"/>
    </i>
    <i i="4">
      <x v="4"/>
    </i>
    <i i="5">
      <x v="5"/>
    </i>
  </colItems>
  <dataFields count="6">
    <dataField name="Count of Product" fld="0" subtotal="count" baseField="0" baseItem="0" numFmtId="165"/>
    <dataField name="Sum of Review" fld="4" baseField="0" baseItem="1" numFmtId="165"/>
    <dataField name="Average of Old Price " fld="2" subtotal="average" baseField="0" baseItem="0" numFmtId="43"/>
    <dataField name="Average of Current Price " fld="1" subtotal="average" baseField="0" baseItem="1" numFmtId="43"/>
    <dataField name="Average of Discount" fld="3" subtotal="average" baseField="0" baseItem="1" numFmtId="10"/>
    <dataField name="Average of Ratings" fld="5" subtotal="average" baseField="0" baseItem="1"/>
  </dataFields>
  <formats count="6">
    <format dxfId="437">
      <pivotArea outline="0" collapsedLevelsAreSubtotals="1" fieldPosition="0"/>
    </format>
    <format dxfId="420">
      <pivotArea outline="0" collapsedLevelsAreSubtotals="1" fieldPosition="0">
        <references count="1">
          <reference field="4294967294" count="1" selected="0">
            <x v="4"/>
          </reference>
        </references>
      </pivotArea>
    </format>
    <format dxfId="419">
      <pivotArea outline="0" collapsedLevelsAreSubtotals="1" fieldPosition="0">
        <references count="1">
          <reference field="4294967294" count="1" selected="0">
            <x v="3"/>
          </reference>
        </references>
      </pivotArea>
    </format>
    <format dxfId="418">
      <pivotArea outline="0" collapsedLevelsAreSubtotals="1" fieldPosition="0">
        <references count="1">
          <reference field="4294967294" count="1" selected="0">
            <x v="2"/>
          </reference>
        </references>
      </pivotArea>
    </format>
    <format dxfId="414">
      <pivotArea outline="0" collapsedLevelsAreSubtotals="1" fieldPosition="0">
        <references count="1">
          <reference field="4294967294" count="1" selected="0">
            <x v="1"/>
          </reference>
        </references>
      </pivotArea>
    </format>
    <format dxfId="4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3681C7-46D3-4097-AAF2-F0F782A97D19}" name="PivotTable22" cacheId="2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116:B139"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numFmtId="9" showAll="0"/>
    <pivotField dataField="1" showAll="0"/>
    <pivotField axis="axisRow"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 showAll="0">
      <items count="4">
        <item x="1"/>
        <item x="2"/>
        <item x="0"/>
        <item t="default"/>
      </items>
    </pivotField>
  </pivotFields>
  <rowFields count="1">
    <field x="5"/>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BFE8CD-6BB2-4654-B698-E03314C8E94F}" name="PivotTable21" cacheId="2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C112" firstHeaderRow="0" firstDataRow="1"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dataField="1" numFmtId="9" showAll="0"/>
    <pivotField dataField="1" showAll="0"/>
    <pivotField showAll="0"/>
    <pivotField showAll="0"/>
    <pivotField showAll="0">
      <items count="5">
        <item x="1"/>
        <item x="0"/>
        <item x="2"/>
        <item x="3"/>
        <item t="default"/>
      </items>
    </pivotField>
    <pivotField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rowItems>
  <colFields count="1">
    <field x="-2"/>
  </colFields>
  <colItems count="2">
    <i>
      <x/>
    </i>
    <i i="1">
      <x v="1"/>
    </i>
  </colItems>
  <dataFields count="2">
    <dataField name="Sum of Discount" fld="3" baseField="0" baseItem="0" numFmtId="9"/>
    <dataField name="Sum of Review" fld="4" baseField="0" baseItem="0"/>
  </dataFields>
  <formats count="1">
    <format dxfId="42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C72FEF-475D-4CEC-8F0F-4CC02926001F}" name="PivotTable19"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J3:K9" firstHeaderRow="1" firstDataRow="1" firstDataCol="1" rowPageCount="1" colPageCount="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numFmtId="9" showAll="0"/>
    <pivotField showAll="0"/>
    <pivotField axis="axisPage" dataField="1" multipleItemSelectionAllowed="1" showAll="0">
      <items count="24">
        <item x="22"/>
        <item x="15"/>
        <item x="19"/>
        <item x="20"/>
        <item x="13"/>
        <item x="21"/>
        <item x="17"/>
        <item x="16"/>
        <item x="18"/>
        <item x="14"/>
        <item x="9"/>
        <item x="6"/>
        <item x="5"/>
        <item x="1"/>
        <item x="7"/>
        <item x="12"/>
        <item x="11"/>
        <item x="0"/>
        <item x="2"/>
        <item x="3"/>
        <item x="4"/>
        <item x="8"/>
        <item h="1" x="10"/>
        <item t="default"/>
      </items>
    </pivotField>
    <pivotField showAll="0"/>
    <pivotField showAll="0"/>
    <pivotField showAll="0"/>
  </pivotFields>
  <rowFields count="1">
    <field x="0"/>
  </rowFields>
  <rowItems count="6">
    <i>
      <x v="30"/>
    </i>
    <i>
      <x v="35"/>
    </i>
    <i>
      <x v="41"/>
    </i>
    <i>
      <x v="58"/>
    </i>
    <i>
      <x v="104"/>
    </i>
    <i t="grand">
      <x/>
    </i>
  </rowItems>
  <colItems count="1">
    <i/>
  </colItems>
  <pageFields count="1">
    <pageField fld="5" hier="-1"/>
  </pageFields>
  <dataFields count="1">
    <dataField name="Sum of Ratings" fld="5" baseField="0" baseItem="0"/>
  </dataFields>
  <pivotTableStyleInfo name="PivotStyleLight16" showRowHeaders="1" showColHeaders="1" showRowStripes="0" showColStripes="0" showLastColumn="1"/>
  <filters count="1">
    <filter fld="0"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2964DF-532D-476E-A8E4-4E839E7566E8}" name="PivotTable18"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G2:H10"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5" showAll="0"/>
    <pivotField numFmtId="165" showAll="0"/>
    <pivotField numFmtId="9"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 showAll="0"/>
  </pivotFields>
  <rowFields count="1">
    <field x="0"/>
  </rowFields>
  <rowItems count="8">
    <i>
      <x v="40"/>
    </i>
    <i>
      <x v="44"/>
    </i>
    <i>
      <x v="52"/>
    </i>
    <i>
      <x v="57"/>
    </i>
    <i>
      <x v="65"/>
    </i>
    <i>
      <x v="68"/>
    </i>
    <i>
      <x v="87"/>
    </i>
    <i t="grand">
      <x/>
    </i>
  </rowItems>
  <colItems count="1">
    <i/>
  </colItems>
  <dataFields count="1">
    <dataField name="Ratings." fld="5" baseField="0" baseItem="0"/>
  </dataField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6DA044-412C-4F7C-B66B-F0421A499B5D}" name="PivotTable17"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
  <location ref="D2:E8"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9" showAll="0"/>
    <pivotField dataField="1" showAll="0"/>
    <pivotField showAll="0"/>
    <pivotField showAll="0"/>
    <pivotField showAll="0"/>
    <pivotField showAll="0"/>
  </pivotFields>
  <rowFields count="1">
    <field x="0"/>
  </rowFields>
  <rowItems count="6">
    <i>
      <x v="5"/>
    </i>
    <i>
      <x v="8"/>
    </i>
    <i>
      <x v="59"/>
    </i>
    <i>
      <x v="18"/>
    </i>
    <i>
      <x v="1"/>
    </i>
    <i t="grand">
      <x/>
    </i>
  </rowItems>
  <colItems count="1">
    <i/>
  </colItems>
  <dataFields count="1">
    <dataField name="Reviews" fld="4"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DE9956-1996-4976-81F4-289CFF65E558}" name="PivotTable16"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roduct">
  <location ref="A2:B9"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dataField="1" numFmtId="9" showAll="0"/>
    <pivotField showAll="0"/>
    <pivotField showAll="0"/>
    <pivotField showAll="0"/>
    <pivotField showAll="0"/>
    <pivotField showAll="0"/>
  </pivotFields>
  <rowFields count="1">
    <field x="0"/>
  </rowFields>
  <rowItems count="7">
    <i>
      <x v="31"/>
    </i>
    <i>
      <x v="53"/>
    </i>
    <i>
      <x v="70"/>
    </i>
    <i>
      <x v="30"/>
    </i>
    <i>
      <x v="84"/>
    </i>
    <i>
      <x v="67"/>
    </i>
    <i t="grand">
      <x/>
    </i>
  </rowItems>
  <colItems count="1">
    <i/>
  </colItems>
  <dataFields count="1">
    <dataField name="Discount %" fld="3" baseField="0" baseItem="0"/>
  </dataFields>
  <formats count="1">
    <format dxfId="424">
      <pivotArea collapsedLevelsAreSubtotals="1" fieldPosition="0">
        <references count="1">
          <reference field="0" count="0"/>
        </references>
      </pivotArea>
    </format>
  </formats>
  <pivotTableStyleInfo name="PivotStyleLight16"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DF6A6F8-3B8C-4255-8063-347461EF80A2}" sourceName="Discount Category">
  <pivotTables>
    <pivotTable tabId="2" name="PivotTable6"/>
    <pivotTable tabId="4" name="PivotTable22"/>
    <pivotTable tabId="4" name="PivotTable21"/>
    <pivotTable tabId="2" name="PivotTable1"/>
  </pivotTables>
  <data>
    <tabular pivotCacheId="81042148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848C74F6-C641-43FE-AAA4-AD21B3869905}" sourceName="Rating Category">
  <pivotTables>
    <pivotTable tabId="2" name="PivotTable6"/>
    <pivotTable tabId="4" name="PivotTable22"/>
    <pivotTable tabId="4" name="PivotTable21"/>
    <pivotTable tabId="2" name="PivotTable1"/>
  </pivotTables>
  <data>
    <tabular pivotCacheId="81042148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2" xr10:uid="{3A630E87-1059-4C3F-9BD3-3F7EF9090DEC}" cache="Slicer_Discount_Category" caption="Discount Category" rowHeight="241300"/>
  <slicer name="Rating Category 1" xr10:uid="{FA3D2FDE-951F-4261-AC26-6F9CB4A5666B}" cache="Slicer_Rating_Category" caption="Rating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11" totalsRowCount="1">
  <autoFilter ref="A1:I110" xr:uid="{00000000-0009-0000-0100-000001000000}"/>
  <sortState xmlns:xlrd2="http://schemas.microsoft.com/office/spreadsheetml/2017/richdata2" ref="A2:I110">
    <sortCondition ref="E1:E110"/>
  </sortState>
  <tableColumns count="9">
    <tableColumn id="1" xr3:uid="{00000000-0010-0000-0000-000001000000}" name="Product"/>
    <tableColumn id="2" xr3:uid="{00000000-0010-0000-0000-000002000000}" name="Current Price " dataDxfId="436" totalsRowDxfId="434" dataCellStyle="Comma" totalsRowCellStyle="Comma"/>
    <tableColumn id="3" xr3:uid="{00000000-0010-0000-0000-000003000000}" name="Old Price " dataDxfId="428" totalsRowDxfId="427" dataCellStyle="Comma" totalsRowCellStyle="Comma"/>
    <tableColumn id="4" xr3:uid="{00000000-0010-0000-0000-000004000000}" name="Discount" dataDxfId="435" totalsRowDxfId="433"/>
    <tableColumn id="5" xr3:uid="{00000000-0010-0000-0000-000005000000}" name="Review"/>
    <tableColumn id="6" xr3:uid="{00000000-0010-0000-0000-000006000000}" name="Ratings"/>
    <tableColumn id="7" xr3:uid="{00000000-0010-0000-0000-000007000000}" name="Discount Amount (KSh) "/>
    <tableColumn id="8" xr3:uid="{00000000-0010-0000-0000-000008000000}" name="Rating Category" dataDxfId="430" totalsRowDxfId="429">
      <calculatedColumnFormula>IF(Table1[[#This Row],[Ratings]]="N/A", "N/A", IF(Table1[[#This Row],[Ratings]]&gt;= 4.5, "Excellent", IF(Table1[[#This Row],[Ratings]]&gt;=3, "Average", "Poor")))</calculatedColumnFormula>
    </tableColumn>
    <tableColumn id="9" xr3:uid="{00000000-0010-0000-0000-000009000000}" name="Discount Category" dataDxfId="432" totalsRowDxfId="431">
      <calculatedColumnFormula array="1">_xlfn.SWITCH(TRUE(), Table1[[#This Row],[Discount]]&gt; 40%, "High Discount", Table1[[#This Row],[Discount]]&gt; 20%, "Medium Discount", "Low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1"/>
  <sheetViews>
    <sheetView tabSelected="1" workbookViewId="0">
      <selection activeCell="H4" sqref="H4"/>
    </sheetView>
  </sheetViews>
  <sheetFormatPr defaultRowHeight="15" x14ac:dyDescent="0.25"/>
  <cols>
    <col min="1" max="1" width="72.28515625" customWidth="1"/>
    <col min="2" max="2" width="15.5703125" style="3" customWidth="1"/>
    <col min="3" max="3" width="11.7109375" style="3" customWidth="1"/>
    <col min="4" max="4" width="10.85546875" customWidth="1"/>
    <col min="5" max="5" width="9.7109375" customWidth="1"/>
    <col min="6" max="6" width="9.7109375" bestFit="1" customWidth="1"/>
    <col min="7" max="7" width="12.7109375" customWidth="1"/>
    <col min="8" max="8" width="17" customWidth="1"/>
    <col min="9" max="9" width="19.5703125" bestFit="1" customWidth="1"/>
  </cols>
  <sheetData>
    <row r="1" spans="1:9" x14ac:dyDescent="0.25">
      <c r="A1" t="s">
        <v>0</v>
      </c>
      <c r="B1" s="3" t="s">
        <v>123</v>
      </c>
      <c r="C1" s="3" t="s">
        <v>122</v>
      </c>
      <c r="D1" t="s">
        <v>1</v>
      </c>
      <c r="E1" t="s">
        <v>2</v>
      </c>
      <c r="F1" t="s">
        <v>3</v>
      </c>
      <c r="G1" t="s">
        <v>124</v>
      </c>
      <c r="H1" t="s">
        <v>4</v>
      </c>
      <c r="I1" t="s">
        <v>5</v>
      </c>
    </row>
    <row r="2" spans="1:9" x14ac:dyDescent="0.25">
      <c r="A2" t="s">
        <v>47</v>
      </c>
      <c r="B2" s="3">
        <v>1620</v>
      </c>
      <c r="C2" s="3">
        <v>2690</v>
      </c>
      <c r="D2" s="2">
        <v>0.4</v>
      </c>
      <c r="E2">
        <v>1</v>
      </c>
      <c r="F2">
        <v>5</v>
      </c>
      <c r="G2" s="1">
        <v>1070</v>
      </c>
      <c r="H2" t="str">
        <f>IF(Table1[[#This Row],[Ratings]]="N/A", "N/A", IF(Table1[[#This Row],[Ratings]]&gt;= 4.5, "Excellent", IF(Table1[[#This Row],[Ratings]]&gt;=3, "Average", "Poor")))</f>
        <v>Excellent</v>
      </c>
      <c r="I2" t="str" cm="1">
        <f t="array" ref="I2">_xlfn.SWITCH(TRUE(), Table1[[#This Row],[Discount]]&gt; 40%, "High Discount", Table1[[#This Row],[Discount]]&gt; 20%, "Medium Discount", "Low Discount")</f>
        <v>Medium Discount</v>
      </c>
    </row>
    <row r="3" spans="1:9" x14ac:dyDescent="0.25">
      <c r="A3" t="s">
        <v>90</v>
      </c>
      <c r="B3" s="3">
        <v>1189</v>
      </c>
      <c r="C3" s="3">
        <v>2199</v>
      </c>
      <c r="D3" s="2">
        <v>0.46</v>
      </c>
      <c r="E3">
        <v>1</v>
      </c>
      <c r="F3">
        <v>3</v>
      </c>
      <c r="G3" s="1">
        <v>1010</v>
      </c>
      <c r="H3" t="str">
        <f>IF(Table1[[#This Row],[Ratings]]="N/A", "N/A", IF(Table1[[#This Row],[Ratings]]&gt;= 4.5, "Excellent", IF(Table1[[#This Row],[Ratings]]&gt;=3, "Average", "Poor")))</f>
        <v>Average</v>
      </c>
      <c r="I3" t="str" cm="1">
        <f t="array" ref="I3">_xlfn.SWITCH(TRUE(), Table1[[#This Row],[Discount]]&gt; 40%, "High Discount", Table1[[#This Row],[Discount]]&gt; 20%, "Medium Discount", "Low Discount")</f>
        <v>High Discount</v>
      </c>
    </row>
    <row r="4" spans="1:9" x14ac:dyDescent="0.25">
      <c r="A4" t="s">
        <v>91</v>
      </c>
      <c r="B4" s="3">
        <v>979</v>
      </c>
      <c r="C4" s="3">
        <v>1920</v>
      </c>
      <c r="D4" s="2">
        <v>0.49</v>
      </c>
      <c r="E4">
        <v>1</v>
      </c>
      <c r="F4">
        <v>5</v>
      </c>
      <c r="G4">
        <v>941</v>
      </c>
      <c r="H4" t="str">
        <f>IF(Table1[[#This Row],[Ratings]]="N/A", "N/A", IF(Table1[[#This Row],[Ratings]]&gt;= 4.5, "Excellent", IF(Table1[[#This Row],[Ratings]]&gt;=3, "Average", "Poor")))</f>
        <v>Excellent</v>
      </c>
      <c r="I4" t="str" cm="1">
        <f t="array" ref="I4">_xlfn.SWITCH(TRUE(), Table1[[#This Row],[Discount]]&gt; 40%, "High Discount", Table1[[#This Row],[Discount]]&gt; 20%, "Medium Discount", "Low Discount")</f>
        <v>High Discount</v>
      </c>
    </row>
    <row r="5" spans="1:9" x14ac:dyDescent="0.25">
      <c r="A5" t="s">
        <v>94</v>
      </c>
      <c r="B5" s="3">
        <v>330</v>
      </c>
      <c r="C5" s="3">
        <v>647</v>
      </c>
      <c r="D5" s="2">
        <v>0.49</v>
      </c>
      <c r="E5">
        <v>1</v>
      </c>
      <c r="F5">
        <v>4</v>
      </c>
      <c r="G5">
        <v>317</v>
      </c>
      <c r="H5" t="str">
        <f>IF(Table1[[#This Row],[Ratings]]="N/A", "N/A", IF(Table1[[#This Row],[Ratings]]&gt;= 4.5, "Excellent", IF(Table1[[#This Row],[Ratings]]&gt;=3, "Average", "Poor")))</f>
        <v>Average</v>
      </c>
      <c r="I5" t="str" cm="1">
        <f t="array" ref="I5">_xlfn.SWITCH(TRUE(), Table1[[#This Row],[Discount]]&gt; 40%, "High Discount", Table1[[#This Row],[Discount]]&gt; 20%, "Medium Discount", "Low Discount")</f>
        <v>High Discount</v>
      </c>
    </row>
    <row r="6" spans="1:9" x14ac:dyDescent="0.25">
      <c r="A6" t="s">
        <v>111</v>
      </c>
      <c r="B6" s="3">
        <v>3640</v>
      </c>
      <c r="C6" s="3">
        <v>4588</v>
      </c>
      <c r="D6" s="2">
        <v>0.21</v>
      </c>
      <c r="E6">
        <v>1</v>
      </c>
      <c r="F6">
        <v>5</v>
      </c>
      <c r="G6">
        <v>948</v>
      </c>
      <c r="H6" t="str">
        <f>IF(Table1[[#This Row],[Ratings]]="N/A", "N/A", IF(Table1[[#This Row],[Ratings]]&gt;= 4.5, "Excellent", IF(Table1[[#This Row],[Ratings]]&gt;=3, "Average", "Poor")))</f>
        <v>Excellent</v>
      </c>
      <c r="I6" t="str" cm="1">
        <f t="array" ref="I6">_xlfn.SWITCH(TRUE(), Table1[[#This Row],[Discount]]&gt; 40%, "High Discount", Table1[[#This Row],[Discount]]&gt; 20%, "Medium Discount", "Low Discount")</f>
        <v>Medium Discount</v>
      </c>
    </row>
    <row r="7" spans="1:9" x14ac:dyDescent="0.25">
      <c r="A7" t="s">
        <v>120</v>
      </c>
      <c r="B7" s="3">
        <v>450</v>
      </c>
      <c r="C7" s="3">
        <v>900</v>
      </c>
      <c r="D7" s="2">
        <v>0.5</v>
      </c>
      <c r="E7">
        <v>1</v>
      </c>
      <c r="F7">
        <v>2</v>
      </c>
      <c r="G7">
        <v>450</v>
      </c>
      <c r="H7" t="str">
        <f>IF(Table1[[#This Row],[Ratings]]="N/A", "N/A", IF(Table1[[#This Row],[Ratings]]&gt;= 4.5, "Excellent", IF(Table1[[#This Row],[Ratings]]&gt;=3, "Average", "Poor")))</f>
        <v>Poor</v>
      </c>
      <c r="I7" t="str" cm="1">
        <f t="array" ref="I7">_xlfn.SWITCH(TRUE(), Table1[[#This Row],[Discount]]&gt; 40%, "High Discount", Table1[[#This Row],[Discount]]&gt; 20%, "Medium Discount", "Low Discount")</f>
        <v>High Discount</v>
      </c>
    </row>
    <row r="8" spans="1:9" x14ac:dyDescent="0.25">
      <c r="A8" t="s">
        <v>6</v>
      </c>
      <c r="B8" s="3">
        <v>950</v>
      </c>
      <c r="C8" s="3">
        <v>1525</v>
      </c>
      <c r="D8" s="2">
        <v>0.38</v>
      </c>
      <c r="E8">
        <v>2</v>
      </c>
      <c r="F8">
        <v>4.5</v>
      </c>
      <c r="G8">
        <v>575</v>
      </c>
      <c r="H8" t="str">
        <f>IF(Table1[[#This Row],[Ratings]]="N/A", "N/A", IF(Table1[[#This Row],[Ratings]]&gt;= 4.5, "Excellent", IF(Table1[[#This Row],[Ratings]]&gt;=3, "Average", "Poor")))</f>
        <v>Excellent</v>
      </c>
      <c r="I8" t="str" cm="1">
        <f t="array" ref="I8">_xlfn.SWITCH(TRUE(), Table1[[#This Row],[Discount]]&gt; 40%, "High Discount", Table1[[#This Row],[Discount]]&gt; 20%, "Medium Discount", "Low Discount")</f>
        <v>Medium Discount</v>
      </c>
    </row>
    <row r="9" spans="1:9" x14ac:dyDescent="0.25">
      <c r="A9" t="s">
        <v>18</v>
      </c>
      <c r="B9" s="3">
        <v>988</v>
      </c>
      <c r="C9" s="3">
        <v>1580</v>
      </c>
      <c r="D9" s="2">
        <v>0.37</v>
      </c>
      <c r="E9">
        <v>2</v>
      </c>
      <c r="F9">
        <v>4</v>
      </c>
      <c r="G9">
        <v>592</v>
      </c>
      <c r="H9" t="str">
        <f>IF(Table1[[#This Row],[Ratings]]="N/A", "N/A", IF(Table1[[#This Row],[Ratings]]&gt;= 4.5, "Excellent", IF(Table1[[#This Row],[Ratings]]&gt;=3, "Average", "Poor")))</f>
        <v>Average</v>
      </c>
      <c r="I9" t="str" cm="1">
        <f t="array" ref="I9">_xlfn.SWITCH(TRUE(), Table1[[#This Row],[Discount]]&gt; 40%, "High Discount", Table1[[#This Row],[Discount]]&gt; 20%, "Medium Discount", "Low Discount")</f>
        <v>Medium Discount</v>
      </c>
    </row>
    <row r="10" spans="1:9" x14ac:dyDescent="0.25">
      <c r="A10" t="s">
        <v>26</v>
      </c>
      <c r="B10" s="3">
        <v>332</v>
      </c>
      <c r="C10" s="3">
        <v>684</v>
      </c>
      <c r="D10" s="2">
        <v>0.51</v>
      </c>
      <c r="E10">
        <v>2</v>
      </c>
      <c r="F10">
        <v>5</v>
      </c>
      <c r="G10">
        <v>352</v>
      </c>
      <c r="H10" t="str">
        <f>IF(Table1[[#This Row],[Ratings]]="N/A", "N/A", IF(Table1[[#This Row],[Ratings]]&gt;= 4.5, "Excellent", IF(Table1[[#This Row],[Ratings]]&gt;=3, "Average", "Poor")))</f>
        <v>Excellent</v>
      </c>
      <c r="I10" t="str" cm="1">
        <f t="array" ref="I10">_xlfn.SWITCH(TRUE(), Table1[[#This Row],[Discount]]&gt; 40%, "High Discount", Table1[[#This Row],[Discount]]&gt; 20%, "Medium Discount", "Low Discount")</f>
        <v>High Discount</v>
      </c>
    </row>
    <row r="11" spans="1:9" x14ac:dyDescent="0.25">
      <c r="A11" t="s">
        <v>27</v>
      </c>
      <c r="B11" s="3">
        <v>195</v>
      </c>
      <c r="C11" s="3">
        <v>360</v>
      </c>
      <c r="D11" s="2">
        <v>0.46</v>
      </c>
      <c r="E11">
        <v>2</v>
      </c>
      <c r="F11">
        <v>5</v>
      </c>
      <c r="G11">
        <v>165</v>
      </c>
      <c r="H11" t="str">
        <f>IF(Table1[[#This Row],[Ratings]]="N/A", "N/A", IF(Table1[[#This Row],[Ratings]]&gt;= 4.5, "Excellent", IF(Table1[[#This Row],[Ratings]]&gt;=3, "Average", "Poor")))</f>
        <v>Excellent</v>
      </c>
      <c r="I11" t="str" cm="1">
        <f t="array" ref="I11">_xlfn.SWITCH(TRUE(), Table1[[#This Row],[Discount]]&gt; 40%, "High Discount", Table1[[#This Row],[Discount]]&gt; 20%, "Medium Discount", "Low Discount")</f>
        <v>High Discount</v>
      </c>
    </row>
    <row r="12" spans="1:9" x14ac:dyDescent="0.25">
      <c r="A12" t="s">
        <v>48</v>
      </c>
      <c r="B12" s="3">
        <v>171</v>
      </c>
      <c r="C12" s="3">
        <v>360</v>
      </c>
      <c r="D12" s="2">
        <v>0.53</v>
      </c>
      <c r="E12">
        <v>2</v>
      </c>
      <c r="F12">
        <v>5</v>
      </c>
      <c r="G12">
        <v>189</v>
      </c>
      <c r="H12" t="str">
        <f>IF(Table1[[#This Row],[Ratings]]="N/A", "N/A", IF(Table1[[#This Row],[Ratings]]&gt;= 4.5, "Excellent", IF(Table1[[#This Row],[Ratings]]&gt;=3, "Average", "Poor")))</f>
        <v>Excellent</v>
      </c>
      <c r="I12" t="str" cm="1">
        <f t="array" ref="I12">_xlfn.SWITCH(TRUE(), Table1[[#This Row],[Discount]]&gt; 40%, "High Discount", Table1[[#This Row],[Discount]]&gt; 20%, "Medium Discount", "Low Discount")</f>
        <v>High Discount</v>
      </c>
    </row>
    <row r="13" spans="1:9" x14ac:dyDescent="0.25">
      <c r="A13" t="s">
        <v>50</v>
      </c>
      <c r="B13" s="3">
        <v>1980</v>
      </c>
      <c r="C13" s="3">
        <v>3200</v>
      </c>
      <c r="D13" s="2">
        <v>0.38</v>
      </c>
      <c r="E13">
        <v>2</v>
      </c>
      <c r="F13">
        <v>4.5</v>
      </c>
      <c r="G13" s="1">
        <v>1220</v>
      </c>
      <c r="H13" t="str">
        <f>IF(Table1[[#This Row],[Ratings]]="N/A", "N/A", IF(Table1[[#This Row],[Ratings]]&gt;= 4.5, "Excellent", IF(Table1[[#This Row],[Ratings]]&gt;=3, "Average", "Poor")))</f>
        <v>Excellent</v>
      </c>
      <c r="I13" t="str" cm="1">
        <f t="array" ref="I13">_xlfn.SWITCH(TRUE(), Table1[[#This Row],[Discount]]&gt; 40%, "High Discount", Table1[[#This Row],[Discount]]&gt; 20%, "Medium Discount", "Low Discount")</f>
        <v>Medium Discount</v>
      </c>
    </row>
    <row r="14" spans="1:9" x14ac:dyDescent="0.25">
      <c r="A14" t="s">
        <v>28</v>
      </c>
      <c r="B14" s="3">
        <v>2025</v>
      </c>
      <c r="C14" s="3">
        <v>3971</v>
      </c>
      <c r="D14" s="2">
        <v>0.49</v>
      </c>
      <c r="E14">
        <v>3</v>
      </c>
      <c r="F14">
        <v>5</v>
      </c>
      <c r="G14" s="1">
        <v>1946</v>
      </c>
      <c r="H14" t="str">
        <f>IF(Table1[[#This Row],[Ratings]]="N/A", "N/A", IF(Table1[[#This Row],[Ratings]]&gt;= 4.5, "Excellent", IF(Table1[[#This Row],[Ratings]]&gt;=3, "Average", "Poor")))</f>
        <v>Excellent</v>
      </c>
      <c r="I14" t="str" cm="1">
        <f t="array" ref="I14">_xlfn.SWITCH(TRUE(), Table1[[#This Row],[Discount]]&gt; 40%, "High Discount", Table1[[#This Row],[Discount]]&gt; 20%, "Medium Discount", "Low Discount")</f>
        <v>High Discount</v>
      </c>
    </row>
    <row r="15" spans="1:9" x14ac:dyDescent="0.25">
      <c r="A15" t="s">
        <v>14</v>
      </c>
      <c r="B15" s="3">
        <v>1740</v>
      </c>
      <c r="C15" s="3">
        <v>2356</v>
      </c>
      <c r="D15" s="2">
        <v>0.26</v>
      </c>
      <c r="E15">
        <v>5</v>
      </c>
      <c r="F15">
        <v>4.8</v>
      </c>
      <c r="G15">
        <v>616</v>
      </c>
      <c r="H15" t="str">
        <f>IF(Table1[[#This Row],[Ratings]]="N/A", "N/A", IF(Table1[[#This Row],[Ratings]]&gt;= 4.5, "Excellent", IF(Table1[[#This Row],[Ratings]]&gt;=3, "Average", "Poor")))</f>
        <v>Excellent</v>
      </c>
      <c r="I15" t="str" cm="1">
        <f t="array" ref="I15">_xlfn.SWITCH(TRUE(), Table1[[#This Row],[Discount]]&gt; 40%, "High Discount", Table1[[#This Row],[Discount]]&gt; 20%, "Medium Discount", "Low Discount")</f>
        <v>Medium Discount</v>
      </c>
    </row>
    <row r="16" spans="1:9" x14ac:dyDescent="0.25">
      <c r="A16" t="s">
        <v>19</v>
      </c>
      <c r="B16" s="3">
        <v>1274</v>
      </c>
      <c r="C16" s="3">
        <v>2800</v>
      </c>
      <c r="D16" s="2">
        <v>0.55000000000000004</v>
      </c>
      <c r="E16">
        <v>5</v>
      </c>
      <c r="F16">
        <v>4.8</v>
      </c>
      <c r="G16" s="1">
        <v>1526</v>
      </c>
      <c r="H16" t="str">
        <f>IF(Table1[[#This Row],[Ratings]]="N/A", "N/A", IF(Table1[[#This Row],[Ratings]]&gt;= 4.5, "Excellent", IF(Table1[[#This Row],[Ratings]]&gt;=3, "Average", "Poor")))</f>
        <v>Excellent</v>
      </c>
      <c r="I16" t="str" cm="1">
        <f t="array" ref="I16">_xlfn.SWITCH(TRUE(), Table1[[#This Row],[Discount]]&gt; 40%, "High Discount", Table1[[#This Row],[Discount]]&gt; 20%, "Medium Discount", "Low Discount")</f>
        <v>High Discount</v>
      </c>
    </row>
    <row r="17" spans="1:9" x14ac:dyDescent="0.25">
      <c r="A17" t="s">
        <v>20</v>
      </c>
      <c r="B17" s="3">
        <v>1600</v>
      </c>
      <c r="C17" s="3">
        <v>2929</v>
      </c>
      <c r="D17" s="2">
        <v>0.45</v>
      </c>
      <c r="E17">
        <v>5</v>
      </c>
      <c r="F17">
        <v>3.8</v>
      </c>
      <c r="G17" s="1">
        <v>1329</v>
      </c>
      <c r="H17" t="str">
        <f>IF(Table1[[#This Row],[Ratings]]="N/A", "N/A", IF(Table1[[#This Row],[Ratings]]&gt;= 4.5, "Excellent", IF(Table1[[#This Row],[Ratings]]&gt;=3, "Average", "Poor")))</f>
        <v>Average</v>
      </c>
      <c r="I17" t="str" cm="1">
        <f t="array" ref="I17">_xlfn.SWITCH(TRUE(), Table1[[#This Row],[Discount]]&gt; 40%, "High Discount", Table1[[#This Row],[Discount]]&gt; 20%, "Medium Discount", "Low Discount")</f>
        <v>High Discount</v>
      </c>
    </row>
    <row r="18" spans="1:9" x14ac:dyDescent="0.25">
      <c r="A18" t="s">
        <v>29</v>
      </c>
      <c r="B18" s="3">
        <v>2999</v>
      </c>
      <c r="C18" s="3">
        <v>3699</v>
      </c>
      <c r="D18" s="2">
        <v>0.19</v>
      </c>
      <c r="E18">
        <v>5</v>
      </c>
      <c r="F18">
        <v>4.5999999999999996</v>
      </c>
      <c r="G18">
        <v>700</v>
      </c>
      <c r="H18" t="str">
        <f>IF(Table1[[#This Row],[Ratings]]="N/A", "N/A", IF(Table1[[#This Row],[Ratings]]&gt;= 4.5, "Excellent", IF(Table1[[#This Row],[Ratings]]&gt;=3, "Average", "Poor")))</f>
        <v>Excellent</v>
      </c>
      <c r="I18" t="str" cm="1">
        <f t="array" ref="I18">_xlfn.SWITCH(TRUE(), Table1[[#This Row],[Discount]]&gt; 40%, "High Discount", Table1[[#This Row],[Discount]]&gt; 20%, "Medium Discount", "Low Discount")</f>
        <v>Low Discount</v>
      </c>
    </row>
    <row r="19" spans="1:9" x14ac:dyDescent="0.25">
      <c r="A19" t="s">
        <v>79</v>
      </c>
      <c r="B19" s="3">
        <v>3750</v>
      </c>
      <c r="C19" s="3">
        <v>6143</v>
      </c>
      <c r="D19" s="2">
        <v>0.39</v>
      </c>
      <c r="E19">
        <v>5</v>
      </c>
      <c r="F19">
        <v>3</v>
      </c>
      <c r="G19" s="1">
        <v>2393</v>
      </c>
      <c r="H19" t="str">
        <f>IF(Table1[[#This Row],[Ratings]]="N/A", "N/A", IF(Table1[[#This Row],[Ratings]]&gt;= 4.5, "Excellent", IF(Table1[[#This Row],[Ratings]]&gt;=3, "Average", "Poor")))</f>
        <v>Average</v>
      </c>
      <c r="I19" t="str" cm="1">
        <f t="array" ref="I19">_xlfn.SWITCH(TRUE(), Table1[[#This Row],[Discount]]&gt; 40%, "High Discount", Table1[[#This Row],[Discount]]&gt; 20%, "Medium Discount", "Low Discount")</f>
        <v>Medium Discount</v>
      </c>
    </row>
    <row r="20" spans="1:9" x14ac:dyDescent="0.25">
      <c r="A20" t="s">
        <v>81</v>
      </c>
      <c r="B20" s="3">
        <v>2300</v>
      </c>
      <c r="C20" s="3">
        <v>3240</v>
      </c>
      <c r="D20" s="2">
        <v>0.28999999999999998</v>
      </c>
      <c r="E20">
        <v>5</v>
      </c>
      <c r="F20">
        <v>3</v>
      </c>
      <c r="G20">
        <v>940</v>
      </c>
      <c r="H20" t="str">
        <f>IF(Table1[[#This Row],[Ratings]]="N/A", "N/A", IF(Table1[[#This Row],[Ratings]]&gt;= 4.5, "Excellent", IF(Table1[[#This Row],[Ratings]]&gt;=3, "Average", "Poor")))</f>
        <v>Average</v>
      </c>
      <c r="I20" t="str" cm="1">
        <f t="array" ref="I20">_xlfn.SWITCH(TRUE(), Table1[[#This Row],[Discount]]&gt; 40%, "High Discount", Table1[[#This Row],[Discount]]&gt; 20%, "Medium Discount", "Low Discount")</f>
        <v>Medium Discount</v>
      </c>
    </row>
    <row r="21" spans="1:9" x14ac:dyDescent="0.25">
      <c r="A21" t="s">
        <v>83</v>
      </c>
      <c r="B21" s="3">
        <v>509</v>
      </c>
      <c r="C21" s="3">
        <v>899</v>
      </c>
      <c r="D21" s="2">
        <v>0.43</v>
      </c>
      <c r="E21">
        <v>5</v>
      </c>
      <c r="F21">
        <v>3</v>
      </c>
      <c r="G21">
        <v>390</v>
      </c>
      <c r="H21" t="str">
        <f>IF(Table1[[#This Row],[Ratings]]="N/A", "N/A", IF(Table1[[#This Row],[Ratings]]&gt;= 4.5, "Excellent", IF(Table1[[#This Row],[Ratings]]&gt;=3, "Average", "Poor")))</f>
        <v>Average</v>
      </c>
      <c r="I21" t="str" cm="1">
        <f t="array" ref="I21">_xlfn.SWITCH(TRUE(), Table1[[#This Row],[Discount]]&gt; 40%, "High Discount", Table1[[#This Row],[Discount]]&gt; 20%, "Medium Discount", "Low Discount")</f>
        <v>High Discount</v>
      </c>
    </row>
    <row r="22" spans="1:9" x14ac:dyDescent="0.25">
      <c r="A22" t="s">
        <v>24</v>
      </c>
      <c r="B22" s="3">
        <v>501</v>
      </c>
      <c r="C22" s="3">
        <v>860</v>
      </c>
      <c r="D22" s="2">
        <v>0.42</v>
      </c>
      <c r="E22">
        <v>6</v>
      </c>
      <c r="F22">
        <v>4.5</v>
      </c>
      <c r="G22">
        <v>359</v>
      </c>
      <c r="H22" t="str">
        <f>IF(Table1[[#This Row],[Ratings]]="N/A", "N/A", IF(Table1[[#This Row],[Ratings]]&gt;= 4.5, "Excellent", IF(Table1[[#This Row],[Ratings]]&gt;=3, "Average", "Poor")))</f>
        <v>Excellent</v>
      </c>
      <c r="I22" t="str" cm="1">
        <f t="array" ref="I22">_xlfn.SWITCH(TRUE(), Table1[[#This Row],[Discount]]&gt; 40%, "High Discount", Table1[[#This Row],[Discount]]&gt; 20%, "Medium Discount", "Low Discount")</f>
        <v>High Discount</v>
      </c>
    </row>
    <row r="23" spans="1:9" x14ac:dyDescent="0.25">
      <c r="A23" t="s">
        <v>34</v>
      </c>
      <c r="B23" s="3">
        <v>880</v>
      </c>
      <c r="C23" s="3">
        <v>1350</v>
      </c>
      <c r="D23" s="2">
        <v>0.35</v>
      </c>
      <c r="E23">
        <v>6</v>
      </c>
      <c r="F23">
        <v>4</v>
      </c>
      <c r="G23">
        <v>470</v>
      </c>
      <c r="H23" t="str">
        <f>IF(Table1[[#This Row],[Ratings]]="N/A", "N/A", IF(Table1[[#This Row],[Ratings]]&gt;= 4.5, "Excellent", IF(Table1[[#This Row],[Ratings]]&gt;=3, "Average", "Poor")))</f>
        <v>Average</v>
      </c>
      <c r="I23" t="str" cm="1">
        <f t="array" ref="I23">_xlfn.SWITCH(TRUE(), Table1[[#This Row],[Discount]]&gt; 40%, "High Discount", Table1[[#This Row],[Discount]]&gt; 20%, "Medium Discount", "Low Discount")</f>
        <v>Medium Discount</v>
      </c>
    </row>
    <row r="24" spans="1:9" x14ac:dyDescent="0.25">
      <c r="A24" t="s">
        <v>70</v>
      </c>
      <c r="B24" s="3">
        <v>2170</v>
      </c>
      <c r="C24" s="3">
        <v>2500</v>
      </c>
      <c r="D24" s="2">
        <v>0.13</v>
      </c>
      <c r="E24">
        <v>6</v>
      </c>
      <c r="F24">
        <v>2.5</v>
      </c>
      <c r="G24">
        <v>330</v>
      </c>
      <c r="H24" t="str">
        <f>IF(Table1[[#This Row],[Ratings]]="N/A", "N/A", IF(Table1[[#This Row],[Ratings]]&gt;= 4.5, "Excellent", IF(Table1[[#This Row],[Ratings]]&gt;=3, "Average", "Poor")))</f>
        <v>Poor</v>
      </c>
      <c r="I24" t="str" cm="1">
        <f t="array" ref="I24">_xlfn.SWITCH(TRUE(), Table1[[#This Row],[Discount]]&gt; 40%, "High Discount", Table1[[#This Row],[Discount]]&gt; 20%, "Medium Discount", "Low Discount")</f>
        <v>Low Discount</v>
      </c>
    </row>
    <row r="25" spans="1:9" x14ac:dyDescent="0.25">
      <c r="A25" t="s">
        <v>77</v>
      </c>
      <c r="B25" s="3">
        <v>990</v>
      </c>
      <c r="C25" s="3">
        <v>1814</v>
      </c>
      <c r="D25" s="2">
        <v>0.45</v>
      </c>
      <c r="E25">
        <v>6</v>
      </c>
      <c r="F25">
        <v>2.2000000000000002</v>
      </c>
      <c r="G25">
        <v>824</v>
      </c>
      <c r="H25" t="str">
        <f>IF(Table1[[#This Row],[Ratings]]="N/A", "N/A", IF(Table1[[#This Row],[Ratings]]&gt;= 4.5, "Excellent", IF(Table1[[#This Row],[Ratings]]&gt;=3, "Average", "Poor")))</f>
        <v>Poor</v>
      </c>
      <c r="I25" t="str" cm="1">
        <f t="array" ref="I25">_xlfn.SWITCH(TRUE(), Table1[[#This Row],[Discount]]&gt; 40%, "High Discount", Table1[[#This Row],[Discount]]&gt; 20%, "Medium Discount", "Low Discount")</f>
        <v>High Discount</v>
      </c>
    </row>
    <row r="26" spans="1:9" x14ac:dyDescent="0.25">
      <c r="A26" t="s">
        <v>82</v>
      </c>
      <c r="B26" s="3">
        <v>345</v>
      </c>
      <c r="C26" s="3">
        <v>602</v>
      </c>
      <c r="D26" s="2">
        <v>0.43</v>
      </c>
      <c r="E26">
        <v>6</v>
      </c>
      <c r="F26">
        <v>2.2999999999999998</v>
      </c>
      <c r="G26">
        <v>257</v>
      </c>
      <c r="H26" t="str">
        <f>IF(Table1[[#This Row],[Ratings]]="N/A", "N/A", IF(Table1[[#This Row],[Ratings]]&gt;= 4.5, "Excellent", IF(Table1[[#This Row],[Ratings]]&gt;=3, "Average", "Poor")))</f>
        <v>Poor</v>
      </c>
      <c r="I26" t="str" cm="1">
        <f t="array" ref="I26">_xlfn.SWITCH(TRUE(), Table1[[#This Row],[Discount]]&gt; 40%, "High Discount", Table1[[#This Row],[Discount]]&gt; 20%, "Medium Discount", "Low Discount")</f>
        <v>High Discount</v>
      </c>
    </row>
    <row r="27" spans="1:9" x14ac:dyDescent="0.25">
      <c r="A27" t="s">
        <v>84</v>
      </c>
      <c r="B27" s="3">
        <v>968</v>
      </c>
      <c r="C27" s="3">
        <v>1814</v>
      </c>
      <c r="D27" s="2">
        <v>0.47</v>
      </c>
      <c r="E27">
        <v>6</v>
      </c>
      <c r="F27">
        <v>2.2000000000000002</v>
      </c>
      <c r="G27">
        <v>846</v>
      </c>
      <c r="H27" t="str">
        <f>IF(Table1[[#This Row],[Ratings]]="N/A", "N/A", IF(Table1[[#This Row],[Ratings]]&gt;= 4.5, "Excellent", IF(Table1[[#This Row],[Ratings]]&gt;=3, "Average", "Poor")))</f>
        <v>Poor</v>
      </c>
      <c r="I27" t="str" cm="1">
        <f t="array" ref="I27">_xlfn.SWITCH(TRUE(), Table1[[#This Row],[Discount]]&gt; 40%, "High Discount", Table1[[#This Row],[Discount]]&gt; 20%, "Medium Discount", "Low Discount")</f>
        <v>High Discount</v>
      </c>
    </row>
    <row r="28" spans="1:9" x14ac:dyDescent="0.25">
      <c r="A28" t="s">
        <v>13</v>
      </c>
      <c r="B28" s="3">
        <v>1580</v>
      </c>
      <c r="C28" s="3">
        <v>2499</v>
      </c>
      <c r="D28" s="2">
        <v>0.37</v>
      </c>
      <c r="E28">
        <v>7</v>
      </c>
      <c r="F28">
        <v>4.7</v>
      </c>
      <c r="G28">
        <v>919</v>
      </c>
      <c r="H28" t="str">
        <f>IF(Table1[[#This Row],[Ratings]]="N/A", "N/A", IF(Table1[[#This Row],[Ratings]]&gt;= 4.5, "Excellent", IF(Table1[[#This Row],[Ratings]]&gt;=3, "Average", "Poor")))</f>
        <v>Excellent</v>
      </c>
      <c r="I28" t="str" cm="1">
        <f t="array" ref="I28">_xlfn.SWITCH(TRUE(), Table1[[#This Row],[Discount]]&gt; 40%, "High Discount", Table1[[#This Row],[Discount]]&gt; 20%, "Medium Discount", "Low Discount")</f>
        <v>Medium Discount</v>
      </c>
    </row>
    <row r="29" spans="1:9" x14ac:dyDescent="0.25">
      <c r="A29" t="s">
        <v>36</v>
      </c>
      <c r="B29" s="3">
        <v>2048</v>
      </c>
      <c r="C29" s="3">
        <v>4500</v>
      </c>
      <c r="D29" s="2">
        <v>0.54</v>
      </c>
      <c r="E29">
        <v>7</v>
      </c>
      <c r="F29">
        <v>4.3</v>
      </c>
      <c r="G29" s="1">
        <v>2452</v>
      </c>
      <c r="H29" t="str">
        <f>IF(Table1[[#This Row],[Ratings]]="N/A", "N/A", IF(Table1[[#This Row],[Ratings]]&gt;= 4.5, "Excellent", IF(Table1[[#This Row],[Ratings]]&gt;=3, "Average", "Poor")))</f>
        <v>Average</v>
      </c>
      <c r="I29" t="str" cm="1">
        <f t="array" ref="I29">_xlfn.SWITCH(TRUE(), Table1[[#This Row],[Discount]]&gt; 40%, "High Discount", Table1[[#This Row],[Discount]]&gt; 20%, "Medium Discount", "Low Discount")</f>
        <v>High Discount</v>
      </c>
    </row>
    <row r="30" spans="1:9" x14ac:dyDescent="0.25">
      <c r="A30" t="s">
        <v>78</v>
      </c>
      <c r="B30" s="3">
        <v>1000</v>
      </c>
      <c r="C30" s="3">
        <v>2000</v>
      </c>
      <c r="D30" s="2">
        <v>0.5</v>
      </c>
      <c r="E30">
        <v>7</v>
      </c>
      <c r="F30">
        <v>2.2999999999999998</v>
      </c>
      <c r="G30" s="1">
        <v>1000</v>
      </c>
      <c r="H30" t="str">
        <f>IF(Table1[[#This Row],[Ratings]]="N/A", "N/A", IF(Table1[[#This Row],[Ratings]]&gt;= 4.5, "Excellent", IF(Table1[[#This Row],[Ratings]]&gt;=3, "Average", "Poor")))</f>
        <v>Poor</v>
      </c>
      <c r="I30" t="str" cm="1">
        <f t="array" ref="I30">_xlfn.SWITCH(TRUE(), Table1[[#This Row],[Discount]]&gt; 40%, "High Discount", Table1[[#This Row],[Discount]]&gt; 20%, "Medium Discount", "Low Discount")</f>
        <v>High Discount</v>
      </c>
    </row>
    <row r="31" spans="1:9" x14ac:dyDescent="0.25">
      <c r="A31" t="s">
        <v>85</v>
      </c>
      <c r="B31" s="3">
        <v>1570</v>
      </c>
      <c r="C31" s="3">
        <v>2988</v>
      </c>
      <c r="D31" s="2">
        <v>0.47</v>
      </c>
      <c r="E31">
        <v>7</v>
      </c>
      <c r="F31">
        <v>2.1</v>
      </c>
      <c r="G31" s="1">
        <v>1418</v>
      </c>
      <c r="H31" t="str">
        <f>IF(Table1[[#This Row],[Ratings]]="N/A", "N/A", IF(Table1[[#This Row],[Ratings]]&gt;= 4.5, "Excellent", IF(Table1[[#This Row],[Ratings]]&gt;=3, "Average", "Poor")))</f>
        <v>Poor</v>
      </c>
      <c r="I31" t="str" cm="1">
        <f t="array" ref="I31">_xlfn.SWITCH(TRUE(), Table1[[#This Row],[Discount]]&gt; 40%, "High Discount", Table1[[#This Row],[Discount]]&gt; 20%, "Medium Discount", "Low Discount")</f>
        <v>High Discount</v>
      </c>
    </row>
    <row r="32" spans="1:9" x14ac:dyDescent="0.25">
      <c r="A32" t="s">
        <v>25</v>
      </c>
      <c r="B32" s="3">
        <v>1680</v>
      </c>
      <c r="C32" s="3">
        <v>2499</v>
      </c>
      <c r="D32" s="2">
        <v>0.33</v>
      </c>
      <c r="E32">
        <v>9</v>
      </c>
      <c r="F32">
        <v>4.2</v>
      </c>
      <c r="G32">
        <v>819</v>
      </c>
      <c r="H32" t="str">
        <f>IF(Table1[[#This Row],[Ratings]]="N/A", "N/A", IF(Table1[[#This Row],[Ratings]]&gt;= 4.5, "Excellent", IF(Table1[[#This Row],[Ratings]]&gt;=3, "Average", "Poor")))</f>
        <v>Average</v>
      </c>
      <c r="I32" t="str" cm="1">
        <f t="array" ref="I32">_xlfn.SWITCH(TRUE(), Table1[[#This Row],[Discount]]&gt; 40%, "High Discount", Table1[[#This Row],[Discount]]&gt; 20%, "Medium Discount", "Low Discount")</f>
        <v>Medium Discount</v>
      </c>
    </row>
    <row r="33" spans="1:9" x14ac:dyDescent="0.25">
      <c r="A33" t="s">
        <v>42</v>
      </c>
      <c r="B33" s="3">
        <v>185</v>
      </c>
      <c r="C33" s="3">
        <v>382</v>
      </c>
      <c r="D33" s="2">
        <v>0.52</v>
      </c>
      <c r="E33">
        <v>9</v>
      </c>
      <c r="F33">
        <v>4.3</v>
      </c>
      <c r="G33">
        <v>197</v>
      </c>
      <c r="H33" t="str">
        <f>IF(Table1[[#This Row],[Ratings]]="N/A", "N/A", IF(Table1[[#This Row],[Ratings]]&gt;= 4.5, "Excellent", IF(Table1[[#This Row],[Ratings]]&gt;=3, "Average", "Poor")))</f>
        <v>Average</v>
      </c>
      <c r="I33" t="str" cm="1">
        <f t="array" ref="I33">_xlfn.SWITCH(TRUE(), Table1[[#This Row],[Discount]]&gt; 40%, "High Discount", Table1[[#This Row],[Discount]]&gt; 20%, "Medium Discount", "Low Discount")</f>
        <v>High Discount</v>
      </c>
    </row>
    <row r="34" spans="1:9" x14ac:dyDescent="0.25">
      <c r="A34" t="s">
        <v>44</v>
      </c>
      <c r="B34" s="3">
        <v>1820</v>
      </c>
      <c r="C34" s="3">
        <v>3490</v>
      </c>
      <c r="D34" s="2">
        <v>0.48</v>
      </c>
      <c r="E34">
        <v>9</v>
      </c>
      <c r="F34">
        <v>4.3</v>
      </c>
      <c r="G34" s="1">
        <v>1670</v>
      </c>
      <c r="H34" t="str">
        <f>IF(Table1[[#This Row],[Ratings]]="N/A", "N/A", IF(Table1[[#This Row],[Ratings]]&gt;= 4.5, "Excellent", IF(Table1[[#This Row],[Ratings]]&gt;=3, "Average", "Poor")))</f>
        <v>Average</v>
      </c>
      <c r="I34" t="str" cm="1">
        <f t="array" ref="I34">_xlfn.SWITCH(TRUE(), Table1[[#This Row],[Discount]]&gt; 40%, "High Discount", Table1[[#This Row],[Discount]]&gt; 20%, "Medium Discount", "Low Discount")</f>
        <v>High Discount</v>
      </c>
    </row>
    <row r="35" spans="1:9" x14ac:dyDescent="0.25">
      <c r="A35" t="s">
        <v>72</v>
      </c>
      <c r="B35" s="3">
        <v>458</v>
      </c>
      <c r="C35" s="3">
        <v>986</v>
      </c>
      <c r="D35" s="2">
        <v>0.54</v>
      </c>
      <c r="E35">
        <v>10</v>
      </c>
      <c r="F35">
        <v>3</v>
      </c>
      <c r="G35">
        <v>528</v>
      </c>
      <c r="H35" t="str">
        <f>IF(Table1[[#This Row],[Ratings]]="N/A", "N/A", IF(Table1[[#This Row],[Ratings]]&gt;= 4.5, "Excellent", IF(Table1[[#This Row],[Ratings]]&gt;=3, "Average", "Poor")))</f>
        <v>Average</v>
      </c>
      <c r="I35" t="str" cm="1">
        <f t="array" ref="I35">_xlfn.SWITCH(TRUE(), Table1[[#This Row],[Discount]]&gt; 40%, "High Discount", Table1[[#This Row],[Discount]]&gt; 20%, "Medium Discount", "Low Discount")</f>
        <v>High Discount</v>
      </c>
    </row>
    <row r="36" spans="1:9" x14ac:dyDescent="0.25">
      <c r="A36" t="s">
        <v>21</v>
      </c>
      <c r="B36" s="3">
        <v>799</v>
      </c>
      <c r="C36" s="3">
        <v>999</v>
      </c>
      <c r="D36" s="2">
        <v>0.2</v>
      </c>
      <c r="E36">
        <v>12</v>
      </c>
      <c r="F36">
        <v>4.0999999999999996</v>
      </c>
      <c r="G36">
        <v>200</v>
      </c>
      <c r="H36" t="str">
        <f>IF(Table1[[#This Row],[Ratings]]="N/A", "N/A", IF(Table1[[#This Row],[Ratings]]&gt;= 4.5, "Excellent", IF(Table1[[#This Row],[Ratings]]&gt;=3, "Average", "Poor")))</f>
        <v>Average</v>
      </c>
      <c r="I36" t="str" cm="1">
        <f t="array" ref="I36">_xlfn.SWITCH(TRUE(), Table1[[#This Row],[Discount]]&gt; 40%, "High Discount", Table1[[#This Row],[Discount]]&gt; 20%, "Medium Discount", "Low Discount")</f>
        <v>Low Discount</v>
      </c>
    </row>
    <row r="37" spans="1:9" x14ac:dyDescent="0.25">
      <c r="A37" t="s">
        <v>23</v>
      </c>
      <c r="B37" s="3">
        <v>552</v>
      </c>
      <c r="C37" s="3">
        <v>1035</v>
      </c>
      <c r="D37" s="2">
        <v>0.47</v>
      </c>
      <c r="E37">
        <v>12</v>
      </c>
      <c r="F37">
        <v>4.8</v>
      </c>
      <c r="G37">
        <v>483</v>
      </c>
      <c r="H37" t="str">
        <f>IF(Table1[[#This Row],[Ratings]]="N/A", "N/A", IF(Table1[[#This Row],[Ratings]]&gt;= 4.5, "Excellent", IF(Table1[[#This Row],[Ratings]]&gt;=3, "Average", "Poor")))</f>
        <v>Excellent</v>
      </c>
      <c r="I37" t="str" cm="1">
        <f t="array" ref="I37">_xlfn.SWITCH(TRUE(), Table1[[#This Row],[Discount]]&gt; 40%, "High Discount", Table1[[#This Row],[Discount]]&gt; 20%, "Medium Discount", "Low Discount")</f>
        <v>High Discount</v>
      </c>
    </row>
    <row r="38" spans="1:9" x14ac:dyDescent="0.25">
      <c r="A38" t="s">
        <v>38</v>
      </c>
      <c r="B38" s="3">
        <v>2880</v>
      </c>
      <c r="C38" s="3">
        <v>3520</v>
      </c>
      <c r="D38" s="2">
        <v>0.18</v>
      </c>
      <c r="E38">
        <v>12</v>
      </c>
      <c r="F38">
        <v>3.8</v>
      </c>
      <c r="G38">
        <v>640</v>
      </c>
      <c r="H38" t="str">
        <f>IF(Table1[[#This Row],[Ratings]]="N/A", "N/A", IF(Table1[[#This Row],[Ratings]]&gt;= 4.5, "Excellent", IF(Table1[[#This Row],[Ratings]]&gt;=3, "Average", "Poor")))</f>
        <v>Average</v>
      </c>
      <c r="I38" t="str" cm="1">
        <f t="array" ref="I38">_xlfn.SWITCH(TRUE(), Table1[[#This Row],[Discount]]&gt; 40%, "High Discount", Table1[[#This Row],[Discount]]&gt; 20%, "Medium Discount", "Low Discount")</f>
        <v>Low Discount</v>
      </c>
    </row>
    <row r="39" spans="1:9" x14ac:dyDescent="0.25">
      <c r="A39" t="s">
        <v>43</v>
      </c>
      <c r="B39" s="3">
        <v>980</v>
      </c>
      <c r="C39" s="3">
        <v>1490</v>
      </c>
      <c r="D39" s="2">
        <v>0.34</v>
      </c>
      <c r="E39">
        <v>12</v>
      </c>
      <c r="F39">
        <v>4.7</v>
      </c>
      <c r="G39">
        <v>510</v>
      </c>
      <c r="H39" t="str">
        <f>IF(Table1[[#This Row],[Ratings]]="N/A", "N/A", IF(Table1[[#This Row],[Ratings]]&gt;= 4.5, "Excellent", IF(Table1[[#This Row],[Ratings]]&gt;=3, "Average", "Poor")))</f>
        <v>Excellent</v>
      </c>
      <c r="I39" t="str" cm="1">
        <f t="array" ref="I39">_xlfn.SWITCH(TRUE(), Table1[[#This Row],[Discount]]&gt; 40%, "High Discount", Table1[[#This Row],[Discount]]&gt; 20%, "Medium Discount", "Low Discount")</f>
        <v>Medium Discount</v>
      </c>
    </row>
    <row r="40" spans="1:9" x14ac:dyDescent="0.25">
      <c r="A40" t="s">
        <v>31</v>
      </c>
      <c r="B40" s="3">
        <v>38</v>
      </c>
      <c r="C40" s="3">
        <v>80</v>
      </c>
      <c r="D40" s="2">
        <v>0.53</v>
      </c>
      <c r="E40">
        <v>13</v>
      </c>
      <c r="F40">
        <v>3.3</v>
      </c>
      <c r="G40">
        <v>42</v>
      </c>
      <c r="H40" t="str">
        <f>IF(Table1[[#This Row],[Ratings]]="N/A", "N/A", IF(Table1[[#This Row],[Ratings]]&gt;= 4.5, "Excellent", IF(Table1[[#This Row],[Ratings]]&gt;=3, "Average", "Poor")))</f>
        <v>Average</v>
      </c>
      <c r="I40" t="str" cm="1">
        <f t="array" ref="I40">_xlfn.SWITCH(TRUE(), Table1[[#This Row],[Discount]]&gt; 40%, "High Discount", Table1[[#This Row],[Discount]]&gt; 20%, "Medium Discount", "Low Discount")</f>
        <v>High Discount</v>
      </c>
    </row>
    <row r="41" spans="1:9" x14ac:dyDescent="0.25">
      <c r="A41" t="s">
        <v>39</v>
      </c>
      <c r="B41" s="3">
        <v>1350</v>
      </c>
      <c r="C41" s="3">
        <v>1990</v>
      </c>
      <c r="D41" s="2">
        <v>0.32</v>
      </c>
      <c r="E41">
        <v>13</v>
      </c>
      <c r="F41">
        <v>3.8</v>
      </c>
      <c r="G41">
        <v>640</v>
      </c>
      <c r="H41" t="str">
        <f>IF(Table1[[#This Row],[Ratings]]="N/A", "N/A", IF(Table1[[#This Row],[Ratings]]&gt;= 4.5, "Excellent", IF(Table1[[#This Row],[Ratings]]&gt;=3, "Average", "Poor")))</f>
        <v>Average</v>
      </c>
      <c r="I41" t="str" cm="1">
        <f t="array" ref="I41">_xlfn.SWITCH(TRUE(), Table1[[#This Row],[Discount]]&gt; 40%, "High Discount", Table1[[#This Row],[Discount]]&gt; 20%, "Medium Discount", "Low Discount")</f>
        <v>Medium Discount</v>
      </c>
    </row>
    <row r="42" spans="1:9" x14ac:dyDescent="0.25">
      <c r="A42" t="s">
        <v>73</v>
      </c>
      <c r="B42" s="3">
        <v>2115</v>
      </c>
      <c r="C42" s="3">
        <v>4700</v>
      </c>
      <c r="D42" s="2">
        <v>0.55000000000000004</v>
      </c>
      <c r="E42">
        <v>13</v>
      </c>
      <c r="F42">
        <v>2.1</v>
      </c>
      <c r="G42" s="1">
        <v>2585</v>
      </c>
      <c r="H42" t="str">
        <f>IF(Table1[[#This Row],[Ratings]]="N/A", "N/A", IF(Table1[[#This Row],[Ratings]]&gt;= 4.5, "Excellent", IF(Table1[[#This Row],[Ratings]]&gt;=3, "Average", "Poor")))</f>
        <v>Poor</v>
      </c>
      <c r="I42" t="str" cm="1">
        <f t="array" ref="I42">_xlfn.SWITCH(TRUE(), Table1[[#This Row],[Discount]]&gt; 40%, "High Discount", Table1[[#This Row],[Discount]]&gt; 20%, "Medium Discount", "Low Discount")</f>
        <v>High Discount</v>
      </c>
    </row>
    <row r="43" spans="1:9" x14ac:dyDescent="0.25">
      <c r="A43" t="s">
        <v>9</v>
      </c>
      <c r="B43" s="3">
        <v>527</v>
      </c>
      <c r="C43" s="3">
        <v>999</v>
      </c>
      <c r="D43" s="2">
        <v>0.47</v>
      </c>
      <c r="E43">
        <v>14</v>
      </c>
      <c r="F43">
        <v>4.0999999999999996</v>
      </c>
      <c r="G43">
        <v>472</v>
      </c>
      <c r="H43" t="str">
        <f>IF(Table1[[#This Row],[Ratings]]="N/A", "N/A", IF(Table1[[#This Row],[Ratings]]&gt;= 4.5, "Excellent", IF(Table1[[#This Row],[Ratings]]&gt;=3, "Average", "Poor")))</f>
        <v>Average</v>
      </c>
      <c r="I43" t="str" cm="1">
        <f t="array" ref="I43">_xlfn.SWITCH(TRUE(), Table1[[#This Row],[Discount]]&gt; 40%, "High Discount", Table1[[#This Row],[Discount]]&gt; 20%, "Medium Discount", "Low Discount")</f>
        <v>High Discount</v>
      </c>
    </row>
    <row r="44" spans="1:9" x14ac:dyDescent="0.25">
      <c r="A44" t="s">
        <v>35</v>
      </c>
      <c r="B44" s="3">
        <v>1650</v>
      </c>
      <c r="C44" s="3">
        <v>2150</v>
      </c>
      <c r="D44" s="2">
        <v>0.23</v>
      </c>
      <c r="E44">
        <v>14</v>
      </c>
      <c r="F44">
        <v>4.4000000000000004</v>
      </c>
      <c r="G44">
        <v>500</v>
      </c>
      <c r="H44" t="str">
        <f>IF(Table1[[#This Row],[Ratings]]="N/A", "N/A", IF(Table1[[#This Row],[Ratings]]&gt;= 4.5, "Excellent", IF(Table1[[#This Row],[Ratings]]&gt;=3, "Average", "Poor")))</f>
        <v>Average</v>
      </c>
      <c r="I44" t="str" cm="1">
        <f t="array" ref="I44">_xlfn.SWITCH(TRUE(), Table1[[#This Row],[Discount]]&gt; 40%, "High Discount", Table1[[#This Row],[Discount]]&gt; 20%, "Medium Discount", "Low Discount")</f>
        <v>Medium Discount</v>
      </c>
    </row>
    <row r="45" spans="1:9" x14ac:dyDescent="0.25">
      <c r="A45" t="s">
        <v>15</v>
      </c>
      <c r="B45" s="3">
        <v>2999</v>
      </c>
      <c r="C45" s="3">
        <v>3290</v>
      </c>
      <c r="D45" s="2">
        <v>0.09</v>
      </c>
      <c r="E45">
        <v>15</v>
      </c>
      <c r="F45">
        <v>4</v>
      </c>
      <c r="G45">
        <v>291</v>
      </c>
      <c r="H45" t="str">
        <f>IF(Table1[[#This Row],[Ratings]]="N/A", "N/A", IF(Table1[[#This Row],[Ratings]]&gt;= 4.5, "Excellent", IF(Table1[[#This Row],[Ratings]]&gt;=3, "Average", "Poor")))</f>
        <v>Average</v>
      </c>
      <c r="I45" t="str" cm="1">
        <f t="array" ref="I45">_xlfn.SWITCH(TRUE(), Table1[[#This Row],[Discount]]&gt; 40%, "High Discount", Table1[[#This Row],[Discount]]&gt; 20%, "Medium Discount", "Low Discount")</f>
        <v>Low Discount</v>
      </c>
    </row>
    <row r="46" spans="1:9" x14ac:dyDescent="0.25">
      <c r="A46" t="s">
        <v>75</v>
      </c>
      <c r="B46" s="3">
        <v>325</v>
      </c>
      <c r="C46" s="3">
        <v>680</v>
      </c>
      <c r="D46" s="2">
        <v>0.52</v>
      </c>
      <c r="E46">
        <v>15</v>
      </c>
      <c r="F46">
        <v>2.7</v>
      </c>
      <c r="G46">
        <v>355</v>
      </c>
      <c r="H46" t="str">
        <f>IF(Table1[[#This Row],[Ratings]]="N/A", "N/A", IF(Table1[[#This Row],[Ratings]]&gt;= 4.5, "Excellent", IF(Table1[[#This Row],[Ratings]]&gt;=3, "Average", "Poor")))</f>
        <v>Poor</v>
      </c>
      <c r="I46" t="str" cm="1">
        <f t="array" ref="I46">_xlfn.SWITCH(TRUE(), Table1[[#This Row],[Discount]]&gt; 40%, "High Discount", Table1[[#This Row],[Discount]]&gt; 20%, "Medium Discount", "Low Discount")</f>
        <v>High Discount</v>
      </c>
    </row>
    <row r="47" spans="1:9" x14ac:dyDescent="0.25">
      <c r="A47" t="s">
        <v>76</v>
      </c>
      <c r="B47" s="3">
        <v>1220</v>
      </c>
      <c r="C47" s="3">
        <v>1555</v>
      </c>
      <c r="D47" s="2">
        <v>0.22</v>
      </c>
      <c r="E47">
        <v>16</v>
      </c>
      <c r="F47">
        <v>2.9</v>
      </c>
      <c r="G47">
        <v>335</v>
      </c>
      <c r="H47" t="str">
        <f>IF(Table1[[#This Row],[Ratings]]="N/A", "N/A", IF(Table1[[#This Row],[Ratings]]&gt;= 4.5, "Excellent", IF(Table1[[#This Row],[Ratings]]&gt;=3, "Average", "Poor")))</f>
        <v>Poor</v>
      </c>
      <c r="I47" t="str" cm="1">
        <f t="array" ref="I47">_xlfn.SWITCH(TRUE(), Table1[[#This Row],[Discount]]&gt; 40%, "High Discount", Table1[[#This Row],[Discount]]&gt; 20%, "Medium Discount", "Low Discount")</f>
        <v>Medium Discount</v>
      </c>
    </row>
    <row r="48" spans="1:9" x14ac:dyDescent="0.25">
      <c r="A48" t="s">
        <v>80</v>
      </c>
      <c r="B48" s="3">
        <v>382</v>
      </c>
      <c r="C48" s="3">
        <v>700</v>
      </c>
      <c r="D48" s="2">
        <v>0.45</v>
      </c>
      <c r="E48">
        <v>17</v>
      </c>
      <c r="F48">
        <v>2.6</v>
      </c>
      <c r="G48">
        <v>318</v>
      </c>
      <c r="H48" t="str">
        <f>IF(Table1[[#This Row],[Ratings]]="N/A", "N/A", IF(Table1[[#This Row],[Ratings]]&gt;= 4.5, "Excellent", IF(Table1[[#This Row],[Ratings]]&gt;=3, "Average", "Poor")))</f>
        <v>Poor</v>
      </c>
      <c r="I48" t="str" cm="1">
        <f t="array" ref="I48">_xlfn.SWITCH(TRUE(), Table1[[#This Row],[Discount]]&gt; 40%, "High Discount", Table1[[#This Row],[Discount]]&gt; 20%, "Medium Discount", "Low Discount")</f>
        <v>High Discount</v>
      </c>
    </row>
    <row r="49" spans="1:9" x14ac:dyDescent="0.25">
      <c r="A49" t="s">
        <v>40</v>
      </c>
      <c r="B49" s="3">
        <v>1758</v>
      </c>
      <c r="C49" s="3">
        <v>2499</v>
      </c>
      <c r="D49" s="2">
        <v>0.3</v>
      </c>
      <c r="E49">
        <v>20</v>
      </c>
      <c r="F49">
        <v>4.0999999999999996</v>
      </c>
      <c r="G49">
        <v>741</v>
      </c>
      <c r="H49" t="str">
        <f>IF(Table1[[#This Row],[Ratings]]="N/A", "N/A", IF(Table1[[#This Row],[Ratings]]&gt;= 4.5, "Excellent", IF(Table1[[#This Row],[Ratings]]&gt;=3, "Average", "Poor")))</f>
        <v>Average</v>
      </c>
      <c r="I49" t="str" cm="1">
        <f t="array" ref="I49">_xlfn.SWITCH(TRUE(), Table1[[#This Row],[Discount]]&gt; 40%, "High Discount", Table1[[#This Row],[Discount]]&gt; 20%, "Medium Discount", "Low Discount")</f>
        <v>Medium Discount</v>
      </c>
    </row>
    <row r="50" spans="1:9" x14ac:dyDescent="0.25">
      <c r="A50" t="s">
        <v>45</v>
      </c>
      <c r="B50" s="3">
        <v>1940</v>
      </c>
      <c r="C50" s="3">
        <v>2650</v>
      </c>
      <c r="D50" s="2">
        <v>0.27</v>
      </c>
      <c r="E50">
        <v>20</v>
      </c>
      <c r="F50">
        <v>4.7</v>
      </c>
      <c r="G50">
        <v>710</v>
      </c>
      <c r="H50" t="str">
        <f>IF(Table1[[#This Row],[Ratings]]="N/A", "N/A", IF(Table1[[#This Row],[Ratings]]&gt;= 4.5, "Excellent", IF(Table1[[#This Row],[Ratings]]&gt;=3, "Average", "Poor")))</f>
        <v>Excellent</v>
      </c>
      <c r="I50" t="str" cm="1">
        <f t="array" ref="I50">_xlfn.SWITCH(TRUE(), Table1[[#This Row],[Discount]]&gt; 40%, "High Discount", Table1[[#This Row],[Discount]]&gt; 20%, "Medium Discount", "Low Discount")</f>
        <v>Medium Discount</v>
      </c>
    </row>
    <row r="51" spans="1:9" x14ac:dyDescent="0.25">
      <c r="A51" t="s">
        <v>12</v>
      </c>
      <c r="B51" s="3">
        <v>2199</v>
      </c>
      <c r="C51" s="3">
        <v>2923</v>
      </c>
      <c r="D51" s="2">
        <v>0.25</v>
      </c>
      <c r="E51">
        <v>24</v>
      </c>
      <c r="F51">
        <v>4.5999999999999996</v>
      </c>
      <c r="G51">
        <v>724</v>
      </c>
      <c r="H51" t="str">
        <f>IF(Table1[[#This Row],[Ratings]]="N/A", "N/A", IF(Table1[[#This Row],[Ratings]]&gt;= 4.5, "Excellent", IF(Table1[[#This Row],[Ratings]]&gt;=3, "Average", "Poor")))</f>
        <v>Excellent</v>
      </c>
      <c r="I51" t="str" cm="1">
        <f t="array" ref="I51">_xlfn.SWITCH(TRUE(), Table1[[#This Row],[Discount]]&gt; 40%, "High Discount", Table1[[#This Row],[Discount]]&gt; 20%, "Medium Discount", "Low Discount")</f>
        <v>Medium Discount</v>
      </c>
    </row>
    <row r="52" spans="1:9" x14ac:dyDescent="0.25">
      <c r="A52" t="s">
        <v>46</v>
      </c>
      <c r="B52" s="3">
        <v>1980</v>
      </c>
      <c r="C52" s="3">
        <v>2699</v>
      </c>
      <c r="D52" s="2">
        <v>0.27</v>
      </c>
      <c r="E52">
        <v>32</v>
      </c>
      <c r="F52">
        <v>4.5</v>
      </c>
      <c r="G52">
        <v>719</v>
      </c>
      <c r="H52" t="str">
        <f>IF(Table1[[#This Row],[Ratings]]="N/A", "N/A", IF(Table1[[#This Row],[Ratings]]&gt;= 4.5, "Excellent", IF(Table1[[#This Row],[Ratings]]&gt;=3, "Average", "Poor")))</f>
        <v>Excellent</v>
      </c>
      <c r="I52" t="str" cm="1">
        <f t="array" ref="I52">_xlfn.SWITCH(TRUE(), Table1[[#This Row],[Discount]]&gt; 40%, "High Discount", Table1[[#This Row],[Discount]]&gt; 20%, "Medium Discount", "Low Discount")</f>
        <v>Medium Discount</v>
      </c>
    </row>
    <row r="53" spans="1:9" x14ac:dyDescent="0.25">
      <c r="A53" t="s">
        <v>49</v>
      </c>
      <c r="B53" s="3">
        <v>389</v>
      </c>
      <c r="C53" s="3">
        <v>656</v>
      </c>
      <c r="D53" s="2">
        <v>0.41</v>
      </c>
      <c r="E53">
        <v>36</v>
      </c>
      <c r="F53">
        <v>4.3</v>
      </c>
      <c r="G53">
        <v>267</v>
      </c>
      <c r="H53" t="str">
        <f>IF(Table1[[#This Row],[Ratings]]="N/A", "N/A", IF(Table1[[#This Row],[Ratings]]&gt;= 4.5, "Excellent", IF(Table1[[#This Row],[Ratings]]&gt;=3, "Average", "Poor")))</f>
        <v>Average</v>
      </c>
      <c r="I53" t="str" cm="1">
        <f t="array" ref="I53">_xlfn.SWITCH(TRUE(), Table1[[#This Row],[Discount]]&gt; 40%, "High Discount", Table1[[#This Row],[Discount]]&gt; 20%, "Medium Discount", "Low Discount")</f>
        <v>High Discount</v>
      </c>
    </row>
    <row r="54" spans="1:9" x14ac:dyDescent="0.25">
      <c r="A54" t="s">
        <v>22</v>
      </c>
      <c r="B54" s="3">
        <v>990</v>
      </c>
      <c r="C54" s="3">
        <v>1500</v>
      </c>
      <c r="D54" s="2">
        <v>0.34</v>
      </c>
      <c r="E54">
        <v>39</v>
      </c>
      <c r="F54">
        <v>4.7</v>
      </c>
      <c r="G54">
        <v>510</v>
      </c>
      <c r="H54" t="str">
        <f>IF(Table1[[#This Row],[Ratings]]="N/A", "N/A", IF(Table1[[#This Row],[Ratings]]&gt;= 4.5, "Excellent", IF(Table1[[#This Row],[Ratings]]&gt;=3, "Average", "Poor")))</f>
        <v>Excellent</v>
      </c>
      <c r="I54" t="str" cm="1">
        <f t="array" ref="I54">_xlfn.SWITCH(TRUE(), Table1[[#This Row],[Discount]]&gt; 40%, "High Discount", Table1[[#This Row],[Discount]]&gt; 20%, "Medium Discount", "Low Discount")</f>
        <v>Medium Discount</v>
      </c>
    </row>
    <row r="55" spans="1:9" x14ac:dyDescent="0.25">
      <c r="A55" t="s">
        <v>30</v>
      </c>
      <c r="B55" s="3">
        <v>998</v>
      </c>
      <c r="C55" s="3">
        <v>1966</v>
      </c>
      <c r="D55" s="2">
        <v>0.49</v>
      </c>
      <c r="E55">
        <v>44</v>
      </c>
      <c r="F55">
        <v>4.5999999999999996</v>
      </c>
      <c r="G55">
        <v>968</v>
      </c>
      <c r="H55" t="str">
        <f>IF(Table1[[#This Row],[Ratings]]="N/A", "N/A", IF(Table1[[#This Row],[Ratings]]&gt;= 4.5, "Excellent", IF(Table1[[#This Row],[Ratings]]&gt;=3, "Average", "Poor")))</f>
        <v>Excellent</v>
      </c>
      <c r="I55" t="str" cm="1">
        <f t="array" ref="I55">_xlfn.SWITCH(TRUE(), Table1[[#This Row],[Discount]]&gt; 40%, "High Discount", Table1[[#This Row],[Discount]]&gt; 20%, "Medium Discount", "Low Discount")</f>
        <v>High Discount</v>
      </c>
    </row>
    <row r="56" spans="1:9" x14ac:dyDescent="0.25">
      <c r="A56" t="s">
        <v>37</v>
      </c>
      <c r="B56" s="3">
        <v>420</v>
      </c>
      <c r="C56" s="3">
        <v>647</v>
      </c>
      <c r="D56" s="2">
        <v>0.35</v>
      </c>
      <c r="E56">
        <v>49</v>
      </c>
      <c r="F56">
        <v>4.5999999999999996</v>
      </c>
      <c r="G56">
        <v>227</v>
      </c>
      <c r="H56" t="str">
        <f>IF(Table1[[#This Row],[Ratings]]="N/A", "N/A", IF(Table1[[#This Row],[Ratings]]&gt;= 4.5, "Excellent", IF(Table1[[#This Row],[Ratings]]&gt;=3, "Average", "Poor")))</f>
        <v>Excellent</v>
      </c>
      <c r="I56" t="str" cm="1">
        <f t="array" ref="I56">_xlfn.SWITCH(TRUE(), Table1[[#This Row],[Discount]]&gt; 40%, "High Discount", Table1[[#This Row],[Discount]]&gt; 20%, "Medium Discount", "Low Discount")</f>
        <v>Medium Discount</v>
      </c>
    </row>
    <row r="57" spans="1:9" x14ac:dyDescent="0.25">
      <c r="A57" t="s">
        <v>17</v>
      </c>
      <c r="B57" s="3">
        <v>2319</v>
      </c>
      <c r="C57" s="3">
        <v>3032</v>
      </c>
      <c r="D57" s="2">
        <v>0.24</v>
      </c>
      <c r="E57">
        <v>55</v>
      </c>
      <c r="F57">
        <v>4.5999999999999996</v>
      </c>
      <c r="G57">
        <v>713</v>
      </c>
      <c r="H57" t="str">
        <f>IF(Table1[[#This Row],[Ratings]]="N/A", "N/A", IF(Table1[[#This Row],[Ratings]]&gt;= 4.5, "Excellent", IF(Table1[[#This Row],[Ratings]]&gt;=3, "Average", "Poor")))</f>
        <v>Excellent</v>
      </c>
      <c r="I57" t="str" cm="1">
        <f t="array" ref="I57">_xlfn.SWITCH(TRUE(), Table1[[#This Row],[Discount]]&gt; 40%, "High Discount", Table1[[#This Row],[Discount]]&gt; 20%, "Medium Discount", "Low Discount")</f>
        <v>Medium Discount</v>
      </c>
    </row>
    <row r="58" spans="1:9" x14ac:dyDescent="0.25">
      <c r="A58" t="s">
        <v>74</v>
      </c>
      <c r="B58" s="3">
        <v>445</v>
      </c>
      <c r="C58" s="3">
        <v>873</v>
      </c>
      <c r="D58" s="2">
        <v>0.49</v>
      </c>
      <c r="E58">
        <v>69</v>
      </c>
      <c r="F58">
        <v>2.8</v>
      </c>
      <c r="G58">
        <v>428</v>
      </c>
      <c r="H58" t="str">
        <f>IF(Table1[[#This Row],[Ratings]]="N/A", "N/A", IF(Table1[[#This Row],[Ratings]]&gt;= 4.5, "Excellent", IF(Table1[[#This Row],[Ratings]]&gt;=3, "Average", "Poor")))</f>
        <v>Poor</v>
      </c>
      <c r="I58" t="str" cm="1">
        <f t="array" ref="I58">_xlfn.SWITCH(TRUE(), Table1[[#This Row],[Discount]]&gt; 40%, "High Discount", Table1[[#This Row],[Discount]]&gt; 20%, "Medium Discount", "Low Discount")</f>
        <v>High Discount</v>
      </c>
    </row>
    <row r="59" spans="1:9" x14ac:dyDescent="0.25">
      <c r="A59" t="s">
        <v>32</v>
      </c>
      <c r="B59" s="3">
        <v>1860</v>
      </c>
      <c r="C59" s="3">
        <v>3220</v>
      </c>
      <c r="D59" s="2">
        <v>0.42</v>
      </c>
      <c r="E59" t="s">
        <v>33</v>
      </c>
      <c r="F59" t="s">
        <v>33</v>
      </c>
      <c r="G59" s="1">
        <v>1360</v>
      </c>
      <c r="H59" t="str">
        <f>IF(Table1[[#This Row],[Ratings]]="N/A", "N/A", IF(Table1[[#This Row],[Ratings]]&gt;= 4.5, "Excellent", IF(Table1[[#This Row],[Ratings]]&gt;=3, "Average", "Poor")))</f>
        <v>N/A</v>
      </c>
      <c r="I59" t="str" cm="1">
        <f t="array" ref="I59">_xlfn.SWITCH(TRUE(), Table1[[#This Row],[Discount]]&gt; 40%, "High Discount", Table1[[#This Row],[Discount]]&gt; 20%, "Medium Discount", "Low Discount")</f>
        <v>High Discount</v>
      </c>
    </row>
    <row r="60" spans="1:9" x14ac:dyDescent="0.25">
      <c r="A60" t="s">
        <v>41</v>
      </c>
      <c r="B60" s="3">
        <v>2200</v>
      </c>
      <c r="C60" s="3">
        <v>4080</v>
      </c>
      <c r="D60" s="2">
        <v>0.46</v>
      </c>
      <c r="E60" t="s">
        <v>33</v>
      </c>
      <c r="F60" t="s">
        <v>33</v>
      </c>
      <c r="G60" s="1">
        <v>1880</v>
      </c>
      <c r="H60" t="str">
        <f>IF(Table1[[#This Row],[Ratings]]="N/A", "N/A", IF(Table1[[#This Row],[Ratings]]&gt;= 4.5, "Excellent", IF(Table1[[#This Row],[Ratings]]&gt;=3, "Average", "Poor")))</f>
        <v>N/A</v>
      </c>
      <c r="I60" t="str" cm="1">
        <f t="array" ref="I60">_xlfn.SWITCH(TRUE(), Table1[[#This Row],[Discount]]&gt; 40%, "High Discount", Table1[[#This Row],[Discount]]&gt; 20%, "Medium Discount", "Low Discount")</f>
        <v>High Discount</v>
      </c>
    </row>
    <row r="61" spans="1:9" x14ac:dyDescent="0.25">
      <c r="A61" t="s">
        <v>51</v>
      </c>
      <c r="B61" s="3">
        <v>2750</v>
      </c>
      <c r="C61" s="3">
        <v>4471</v>
      </c>
      <c r="D61" s="2">
        <v>0.38</v>
      </c>
      <c r="E61" t="s">
        <v>33</v>
      </c>
      <c r="F61" t="s">
        <v>33</v>
      </c>
      <c r="G61" s="1">
        <v>1721</v>
      </c>
      <c r="H61" t="str">
        <f>IF(Table1[[#This Row],[Ratings]]="N/A", "N/A", IF(Table1[[#This Row],[Ratings]]&gt;= 4.5, "Excellent", IF(Table1[[#This Row],[Ratings]]&gt;=3, "Average", "Poor")))</f>
        <v>N/A</v>
      </c>
      <c r="I61" t="str" cm="1">
        <f t="array" ref="I61">_xlfn.SWITCH(TRUE(), Table1[[#This Row],[Discount]]&gt; 40%, "High Discount", Table1[[#This Row],[Discount]]&gt; 20%, "Medium Discount", "Low Discount")</f>
        <v>Medium Discount</v>
      </c>
    </row>
    <row r="62" spans="1:9" x14ac:dyDescent="0.25">
      <c r="A62" t="s">
        <v>52</v>
      </c>
      <c r="B62" s="3">
        <v>475</v>
      </c>
      <c r="C62" s="3">
        <v>931</v>
      </c>
      <c r="D62" s="2">
        <v>0.49</v>
      </c>
      <c r="E62" t="s">
        <v>33</v>
      </c>
      <c r="F62" t="s">
        <v>33</v>
      </c>
      <c r="G62">
        <v>456</v>
      </c>
      <c r="H62" t="str">
        <f>IF(Table1[[#This Row],[Ratings]]="N/A", "N/A", IF(Table1[[#This Row],[Ratings]]&gt;= 4.5, "Excellent", IF(Table1[[#This Row],[Ratings]]&gt;=3, "Average", "Poor")))</f>
        <v>N/A</v>
      </c>
      <c r="I62" t="str" cm="1">
        <f t="array" ref="I62">_xlfn.SWITCH(TRUE(), Table1[[#This Row],[Discount]]&gt; 40%, "High Discount", Table1[[#This Row],[Discount]]&gt; 20%, "Medium Discount", "Low Discount")</f>
        <v>High Discount</v>
      </c>
    </row>
    <row r="63" spans="1:9" x14ac:dyDescent="0.25">
      <c r="A63" t="s">
        <v>53</v>
      </c>
      <c r="B63" s="3">
        <v>238</v>
      </c>
      <c r="C63" s="3">
        <v>476</v>
      </c>
      <c r="D63" s="2">
        <v>0.5</v>
      </c>
      <c r="E63" t="s">
        <v>33</v>
      </c>
      <c r="F63" t="s">
        <v>33</v>
      </c>
      <c r="G63">
        <v>238</v>
      </c>
      <c r="H63" t="str">
        <f>IF(Table1[[#This Row],[Ratings]]="N/A", "N/A", IF(Table1[[#This Row],[Ratings]]&gt;= 4.5, "Excellent", IF(Table1[[#This Row],[Ratings]]&gt;=3, "Average", "Poor")))</f>
        <v>N/A</v>
      </c>
      <c r="I63" t="str" cm="1">
        <f t="array" ref="I63">_xlfn.SWITCH(TRUE(), Table1[[#This Row],[Discount]]&gt; 40%, "High Discount", Table1[[#This Row],[Discount]]&gt; 20%, "Medium Discount", "Low Discount")</f>
        <v>High Discount</v>
      </c>
    </row>
    <row r="64" spans="1:9" x14ac:dyDescent="0.25">
      <c r="A64" t="s">
        <v>54</v>
      </c>
      <c r="B64" s="3">
        <v>610</v>
      </c>
      <c r="C64" s="3">
        <v>1060</v>
      </c>
      <c r="D64" s="2">
        <v>0.42</v>
      </c>
      <c r="E64" t="s">
        <v>33</v>
      </c>
      <c r="F64" t="s">
        <v>33</v>
      </c>
      <c r="G64">
        <v>450</v>
      </c>
      <c r="H64" t="str">
        <f>IF(Table1[[#This Row],[Ratings]]="N/A", "N/A", IF(Table1[[#This Row],[Ratings]]&gt;= 4.5, "Excellent", IF(Table1[[#This Row],[Ratings]]&gt;=3, "Average", "Poor")))</f>
        <v>N/A</v>
      </c>
      <c r="I64" t="str" cm="1">
        <f t="array" ref="I64">_xlfn.SWITCH(TRUE(), Table1[[#This Row],[Discount]]&gt; 40%, "High Discount", Table1[[#This Row],[Discount]]&gt; 20%, "Medium Discount", "Low Discount")</f>
        <v>High Discount</v>
      </c>
    </row>
    <row r="65" spans="1:9" x14ac:dyDescent="0.25">
      <c r="A65" t="s">
        <v>55</v>
      </c>
      <c r="B65" s="3">
        <v>2132</v>
      </c>
      <c r="C65" s="3">
        <v>2169</v>
      </c>
      <c r="D65" s="2">
        <v>0.02</v>
      </c>
      <c r="E65" t="s">
        <v>33</v>
      </c>
      <c r="F65" t="s">
        <v>33</v>
      </c>
      <c r="G65">
        <v>37</v>
      </c>
      <c r="H65" t="str">
        <f>IF(Table1[[#This Row],[Ratings]]="N/A", "N/A", IF(Table1[[#This Row],[Ratings]]&gt;= 4.5, "Excellent", IF(Table1[[#This Row],[Ratings]]&gt;=3, "Average", "Poor")))</f>
        <v>N/A</v>
      </c>
      <c r="I65" t="str" cm="1">
        <f t="array" ref="I65">_xlfn.SWITCH(TRUE(), Table1[[#This Row],[Discount]]&gt; 40%, "High Discount", Table1[[#This Row],[Discount]]&gt; 20%, "Medium Discount", "Low Discount")</f>
        <v>Low Discount</v>
      </c>
    </row>
    <row r="66" spans="1:9" x14ac:dyDescent="0.25">
      <c r="A66" t="s">
        <v>56</v>
      </c>
      <c r="B66" s="3">
        <v>999</v>
      </c>
      <c r="C66" s="3">
        <v>2000</v>
      </c>
      <c r="D66" s="2">
        <v>0.5</v>
      </c>
      <c r="E66" t="s">
        <v>33</v>
      </c>
      <c r="F66" t="s">
        <v>33</v>
      </c>
      <c r="G66" s="1">
        <v>1001</v>
      </c>
      <c r="H66" t="str">
        <f>IF(Table1[[#This Row],[Ratings]]="N/A", "N/A", IF(Table1[[#This Row],[Ratings]]&gt;= 4.5, "Excellent", IF(Table1[[#This Row],[Ratings]]&gt;=3, "Average", "Poor")))</f>
        <v>N/A</v>
      </c>
      <c r="I66" t="str" cm="1">
        <f t="array" ref="I66">_xlfn.SWITCH(TRUE(), Table1[[#This Row],[Discount]]&gt; 40%, "High Discount", Table1[[#This Row],[Discount]]&gt; 20%, "Medium Discount", "Low Discount")</f>
        <v>High Discount</v>
      </c>
    </row>
    <row r="67" spans="1:9" x14ac:dyDescent="0.25">
      <c r="A67" t="s">
        <v>57</v>
      </c>
      <c r="B67" s="3">
        <v>1190</v>
      </c>
      <c r="C67" s="3">
        <v>1785</v>
      </c>
      <c r="D67" s="2">
        <v>0.33</v>
      </c>
      <c r="E67" t="s">
        <v>33</v>
      </c>
      <c r="F67" t="s">
        <v>33</v>
      </c>
      <c r="G67">
        <v>595</v>
      </c>
      <c r="H67" t="str">
        <f>IF(Table1[[#This Row],[Ratings]]="N/A", "N/A", IF(Table1[[#This Row],[Ratings]]&gt;= 4.5, "Excellent", IF(Table1[[#This Row],[Ratings]]&gt;=3, "Average", "Poor")))</f>
        <v>N/A</v>
      </c>
      <c r="I67" t="str" cm="1">
        <f t="array" ref="I67">_xlfn.SWITCH(TRUE(), Table1[[#This Row],[Discount]]&gt; 40%, "High Discount", Table1[[#This Row],[Discount]]&gt; 20%, "Medium Discount", "Low Discount")</f>
        <v>Medium Discount</v>
      </c>
    </row>
    <row r="68" spans="1:9" x14ac:dyDescent="0.25">
      <c r="A68" t="s">
        <v>58</v>
      </c>
      <c r="B68" s="3">
        <v>671</v>
      </c>
      <c r="C68" s="3">
        <v>1316</v>
      </c>
      <c r="D68" s="2">
        <v>0.49</v>
      </c>
      <c r="E68" t="s">
        <v>33</v>
      </c>
      <c r="F68" t="s">
        <v>33</v>
      </c>
      <c r="G68">
        <v>645</v>
      </c>
      <c r="H68" t="str">
        <f>IF(Table1[[#This Row],[Ratings]]="N/A", "N/A", IF(Table1[[#This Row],[Ratings]]&gt;= 4.5, "Excellent", IF(Table1[[#This Row],[Ratings]]&gt;=3, "Average", "Poor")))</f>
        <v>N/A</v>
      </c>
      <c r="I68" t="str" cm="1">
        <f t="array" ref="I68">_xlfn.SWITCH(TRUE(), Table1[[#This Row],[Discount]]&gt; 40%, "High Discount", Table1[[#This Row],[Discount]]&gt; 20%, "Medium Discount", "Low Discount")</f>
        <v>High Discount</v>
      </c>
    </row>
    <row r="69" spans="1:9" x14ac:dyDescent="0.25">
      <c r="A69" t="s">
        <v>59</v>
      </c>
      <c r="B69" s="3">
        <v>1200</v>
      </c>
      <c r="C69" s="3">
        <v>1950</v>
      </c>
      <c r="D69" s="2">
        <v>0.38</v>
      </c>
      <c r="E69" t="s">
        <v>33</v>
      </c>
      <c r="F69" t="s">
        <v>33</v>
      </c>
      <c r="G69">
        <v>750</v>
      </c>
      <c r="H69" t="str">
        <f>IF(Table1[[#This Row],[Ratings]]="N/A", "N/A", IF(Table1[[#This Row],[Ratings]]&gt;= 4.5, "Excellent", IF(Table1[[#This Row],[Ratings]]&gt;=3, "Average", "Poor")))</f>
        <v>N/A</v>
      </c>
      <c r="I69" t="str" cm="1">
        <f t="array" ref="I69">_xlfn.SWITCH(TRUE(), Table1[[#This Row],[Discount]]&gt; 40%, "High Discount", Table1[[#This Row],[Discount]]&gt; 20%, "Medium Discount", "Low Discount")</f>
        <v>Medium Discount</v>
      </c>
    </row>
    <row r="70" spans="1:9" x14ac:dyDescent="0.25">
      <c r="A70" t="s">
        <v>60</v>
      </c>
      <c r="B70" s="3">
        <v>199</v>
      </c>
      <c r="C70" s="3">
        <v>504</v>
      </c>
      <c r="D70" s="2">
        <v>0.61</v>
      </c>
      <c r="E70" t="s">
        <v>33</v>
      </c>
      <c r="F70" t="s">
        <v>33</v>
      </c>
      <c r="G70">
        <v>305</v>
      </c>
      <c r="H70" t="str">
        <f>IF(Table1[[#This Row],[Ratings]]="N/A", "N/A", IF(Table1[[#This Row],[Ratings]]&gt;= 4.5, "Excellent", IF(Table1[[#This Row],[Ratings]]&gt;=3, "Average", "Poor")))</f>
        <v>N/A</v>
      </c>
      <c r="I70" t="str" cm="1">
        <f t="array" ref="I70">_xlfn.SWITCH(TRUE(), Table1[[#This Row],[Discount]]&gt; 40%, "High Discount", Table1[[#This Row],[Discount]]&gt; 20%, "Medium Discount", "Low Discount")</f>
        <v>High Discount</v>
      </c>
    </row>
    <row r="71" spans="1:9" x14ac:dyDescent="0.25">
      <c r="A71" t="s">
        <v>61</v>
      </c>
      <c r="B71" s="3">
        <v>299</v>
      </c>
      <c r="C71" s="3">
        <v>600</v>
      </c>
      <c r="D71" s="2">
        <v>0.5</v>
      </c>
      <c r="E71" t="s">
        <v>33</v>
      </c>
      <c r="F71" t="s">
        <v>33</v>
      </c>
      <c r="G71">
        <v>301</v>
      </c>
      <c r="H71" t="str">
        <f>IF(Table1[[#This Row],[Ratings]]="N/A", "N/A", IF(Table1[[#This Row],[Ratings]]&gt;= 4.5, "Excellent", IF(Table1[[#This Row],[Ratings]]&gt;=3, "Average", "Poor")))</f>
        <v>N/A</v>
      </c>
      <c r="I71" t="str" cm="1">
        <f t="array" ref="I71">_xlfn.SWITCH(TRUE(), Table1[[#This Row],[Discount]]&gt; 40%, "High Discount", Table1[[#This Row],[Discount]]&gt; 20%, "Medium Discount", "Low Discount")</f>
        <v>High Discount</v>
      </c>
    </row>
    <row r="72" spans="1:9" x14ac:dyDescent="0.25">
      <c r="A72" t="s">
        <v>62</v>
      </c>
      <c r="B72" s="3">
        <v>1660</v>
      </c>
      <c r="C72" s="3">
        <v>1699</v>
      </c>
      <c r="D72" s="2">
        <v>0.02</v>
      </c>
      <c r="E72" t="s">
        <v>33</v>
      </c>
      <c r="F72" t="s">
        <v>33</v>
      </c>
      <c r="G72">
        <v>39</v>
      </c>
      <c r="H72" t="str">
        <f>IF(Table1[[#This Row],[Ratings]]="N/A", "N/A", IF(Table1[[#This Row],[Ratings]]&gt;= 4.5, "Excellent", IF(Table1[[#This Row],[Ratings]]&gt;=3, "Average", "Poor")))</f>
        <v>N/A</v>
      </c>
      <c r="I72" t="str" cm="1">
        <f t="array" ref="I72">_xlfn.SWITCH(TRUE(), Table1[[#This Row],[Discount]]&gt; 40%, "High Discount", Table1[[#This Row],[Discount]]&gt; 20%, "Medium Discount", "Low Discount")</f>
        <v>Low Discount</v>
      </c>
    </row>
    <row r="73" spans="1:9" x14ac:dyDescent="0.25">
      <c r="A73" t="s">
        <v>63</v>
      </c>
      <c r="B73" s="3">
        <v>299</v>
      </c>
      <c r="C73" s="3">
        <v>384</v>
      </c>
      <c r="D73" s="2">
        <v>0.22</v>
      </c>
      <c r="E73" t="s">
        <v>33</v>
      </c>
      <c r="F73" t="s">
        <v>33</v>
      </c>
      <c r="G73">
        <v>85</v>
      </c>
      <c r="H73" t="str">
        <f>IF(Table1[[#This Row],[Ratings]]="N/A", "N/A", IF(Table1[[#This Row],[Ratings]]&gt;= 4.5, "Excellent", IF(Table1[[#This Row],[Ratings]]&gt;=3, "Average", "Poor")))</f>
        <v>N/A</v>
      </c>
      <c r="I73" t="str" cm="1">
        <f t="array" ref="I73">_xlfn.SWITCH(TRUE(), Table1[[#This Row],[Discount]]&gt; 40%, "High Discount", Table1[[#This Row],[Discount]]&gt; 20%, "Medium Discount", "Low Discount")</f>
        <v>Medium Discount</v>
      </c>
    </row>
    <row r="74" spans="1:9" x14ac:dyDescent="0.25">
      <c r="A74" t="s">
        <v>64</v>
      </c>
      <c r="B74" s="3">
        <v>1459</v>
      </c>
      <c r="C74" s="3">
        <v>1499</v>
      </c>
      <c r="D74" s="2">
        <v>0.03</v>
      </c>
      <c r="E74" t="s">
        <v>33</v>
      </c>
      <c r="F74" t="s">
        <v>33</v>
      </c>
      <c r="G74">
        <v>40</v>
      </c>
      <c r="H74" t="str">
        <f>IF(Table1[[#This Row],[Ratings]]="N/A", "N/A", IF(Table1[[#This Row],[Ratings]]&gt;= 4.5, "Excellent", IF(Table1[[#This Row],[Ratings]]&gt;=3, "Average", "Poor")))</f>
        <v>N/A</v>
      </c>
      <c r="I74" t="str" cm="1">
        <f t="array" ref="I74">_xlfn.SWITCH(TRUE(), Table1[[#This Row],[Discount]]&gt; 40%, "High Discount", Table1[[#This Row],[Discount]]&gt; 20%, "Medium Discount", "Low Discount")</f>
        <v>Low Discount</v>
      </c>
    </row>
    <row r="75" spans="1:9" x14ac:dyDescent="0.25">
      <c r="A75" t="s">
        <v>65</v>
      </c>
      <c r="B75" s="3">
        <v>799</v>
      </c>
      <c r="C75" s="3">
        <v>1343</v>
      </c>
      <c r="D75" s="2">
        <v>0.41</v>
      </c>
      <c r="E75" t="s">
        <v>33</v>
      </c>
      <c r="F75" t="s">
        <v>33</v>
      </c>
      <c r="G75">
        <v>544</v>
      </c>
      <c r="H75" t="str">
        <f>IF(Table1[[#This Row],[Ratings]]="N/A", "N/A", IF(Table1[[#This Row],[Ratings]]&gt;= 4.5, "Excellent", IF(Table1[[#This Row],[Ratings]]&gt;=3, "Average", "Poor")))</f>
        <v>N/A</v>
      </c>
      <c r="I75" t="str" cm="1">
        <f t="array" ref="I75">_xlfn.SWITCH(TRUE(), Table1[[#This Row],[Discount]]&gt; 40%, "High Discount", Table1[[#This Row],[Discount]]&gt; 20%, "Medium Discount", "Low Discount")</f>
        <v>High Discount</v>
      </c>
    </row>
    <row r="76" spans="1:9" x14ac:dyDescent="0.25">
      <c r="A76" t="s">
        <v>66</v>
      </c>
      <c r="B76" s="3">
        <v>499</v>
      </c>
      <c r="C76" s="3">
        <v>900</v>
      </c>
      <c r="D76" s="2">
        <v>0.45</v>
      </c>
      <c r="E76" t="s">
        <v>33</v>
      </c>
      <c r="F76" t="s">
        <v>33</v>
      </c>
      <c r="G76">
        <v>401</v>
      </c>
      <c r="H76" t="str">
        <f>IF(Table1[[#This Row],[Ratings]]="N/A", "N/A", IF(Table1[[#This Row],[Ratings]]&gt;= 4.5, "Excellent", IF(Table1[[#This Row],[Ratings]]&gt;=3, "Average", "Poor")))</f>
        <v>N/A</v>
      </c>
      <c r="I76" t="str" cm="1">
        <f t="array" ref="I76">_xlfn.SWITCH(TRUE(), Table1[[#This Row],[Discount]]&gt; 40%, "High Discount", Table1[[#This Row],[Discount]]&gt; 20%, "Medium Discount", "Low Discount")</f>
        <v>High Discount</v>
      </c>
    </row>
    <row r="77" spans="1:9" x14ac:dyDescent="0.25">
      <c r="A77" t="s">
        <v>67</v>
      </c>
      <c r="B77" s="3">
        <v>699</v>
      </c>
      <c r="C77" s="3">
        <v>1343</v>
      </c>
      <c r="D77" s="2">
        <v>0.48</v>
      </c>
      <c r="E77" t="s">
        <v>33</v>
      </c>
      <c r="F77" t="s">
        <v>33</v>
      </c>
      <c r="G77">
        <v>644</v>
      </c>
      <c r="H77" t="str">
        <f>IF(Table1[[#This Row],[Ratings]]="N/A", "N/A", IF(Table1[[#This Row],[Ratings]]&gt;= 4.5, "Excellent", IF(Table1[[#This Row],[Ratings]]&gt;=3, "Average", "Poor")))</f>
        <v>N/A</v>
      </c>
      <c r="I77" t="str" cm="1">
        <f t="array" ref="I77">_xlfn.SWITCH(TRUE(), Table1[[#This Row],[Discount]]&gt; 40%, "High Discount", Table1[[#This Row],[Discount]]&gt; 20%, "Medium Discount", "Low Discount")</f>
        <v>High Discount</v>
      </c>
    </row>
    <row r="78" spans="1:9" x14ac:dyDescent="0.25">
      <c r="A78" t="s">
        <v>68</v>
      </c>
      <c r="B78" s="3">
        <v>799</v>
      </c>
      <c r="C78" s="3">
        <v>1567</v>
      </c>
      <c r="D78" s="2">
        <v>0.49</v>
      </c>
      <c r="E78" t="s">
        <v>33</v>
      </c>
      <c r="F78" t="s">
        <v>33</v>
      </c>
      <c r="G78">
        <v>768</v>
      </c>
      <c r="H78" t="str">
        <f>IF(Table1[[#This Row],[Ratings]]="N/A", "N/A", IF(Table1[[#This Row],[Ratings]]&gt;= 4.5, "Excellent", IF(Table1[[#This Row],[Ratings]]&gt;=3, "Average", "Poor")))</f>
        <v>N/A</v>
      </c>
      <c r="I78" t="str" cm="1">
        <f t="array" ref="I78">_xlfn.SWITCH(TRUE(), Table1[[#This Row],[Discount]]&gt; 40%, "High Discount", Table1[[#This Row],[Discount]]&gt; 20%, "Medium Discount", "Low Discount")</f>
        <v>High Discount</v>
      </c>
    </row>
    <row r="79" spans="1:9" x14ac:dyDescent="0.25">
      <c r="A79" t="s">
        <v>69</v>
      </c>
      <c r="B79" s="3">
        <v>2799</v>
      </c>
      <c r="C79" s="3">
        <v>3810</v>
      </c>
      <c r="D79" s="2">
        <v>0.27</v>
      </c>
      <c r="E79" t="s">
        <v>33</v>
      </c>
      <c r="F79" t="s">
        <v>33</v>
      </c>
      <c r="G79" s="1">
        <v>1011</v>
      </c>
      <c r="H79" t="str">
        <f>IF(Table1[[#This Row],[Ratings]]="N/A", "N/A", IF(Table1[[#This Row],[Ratings]]&gt;= 4.5, "Excellent", IF(Table1[[#This Row],[Ratings]]&gt;=3, "Average", "Poor")))</f>
        <v>N/A</v>
      </c>
      <c r="I79" t="str" cm="1">
        <f t="array" ref="I79">_xlfn.SWITCH(TRUE(), Table1[[#This Row],[Discount]]&gt; 40%, "High Discount", Table1[[#This Row],[Discount]]&gt; 20%, "Medium Discount", "Low Discount")</f>
        <v>Medium Discount</v>
      </c>
    </row>
    <row r="80" spans="1:9" x14ac:dyDescent="0.25">
      <c r="A80" t="s">
        <v>86</v>
      </c>
      <c r="B80" s="3">
        <v>790</v>
      </c>
      <c r="C80" s="3">
        <v>1485</v>
      </c>
      <c r="D80" s="2">
        <v>0.47</v>
      </c>
      <c r="E80" t="s">
        <v>33</v>
      </c>
      <c r="F80" t="s">
        <v>33</v>
      </c>
      <c r="G80">
        <v>695</v>
      </c>
      <c r="H80" t="str">
        <f>IF(Table1[[#This Row],[Ratings]]="N/A", "N/A", IF(Table1[[#This Row],[Ratings]]&gt;= 4.5, "Excellent", IF(Table1[[#This Row],[Ratings]]&gt;=3, "Average", "Poor")))</f>
        <v>N/A</v>
      </c>
      <c r="I80" t="str" cm="1">
        <f t="array" ref="I80">_xlfn.SWITCH(TRUE(), Table1[[#This Row],[Discount]]&gt; 40%, "High Discount", Table1[[#This Row],[Discount]]&gt; 20%, "Medium Discount", "Low Discount")</f>
        <v>High Discount</v>
      </c>
    </row>
    <row r="81" spans="1:9" x14ac:dyDescent="0.25">
      <c r="A81" t="s">
        <v>87</v>
      </c>
      <c r="B81" s="3">
        <v>690</v>
      </c>
      <c r="C81" s="3">
        <v>1200</v>
      </c>
      <c r="D81" s="2">
        <v>0.43</v>
      </c>
      <c r="E81" t="s">
        <v>33</v>
      </c>
      <c r="F81" t="s">
        <v>33</v>
      </c>
      <c r="G81">
        <v>510</v>
      </c>
      <c r="H81" t="str">
        <f>IF(Table1[[#This Row],[Ratings]]="N/A", "N/A", IF(Table1[[#This Row],[Ratings]]&gt;= 4.5, "Excellent", IF(Table1[[#This Row],[Ratings]]&gt;=3, "Average", "Poor")))</f>
        <v>N/A</v>
      </c>
      <c r="I81" t="str" cm="1">
        <f t="array" ref="I81">_xlfn.SWITCH(TRUE(), Table1[[#This Row],[Discount]]&gt; 40%, "High Discount", Table1[[#This Row],[Discount]]&gt; 20%, "Medium Discount", "Low Discount")</f>
        <v>High Discount</v>
      </c>
    </row>
    <row r="82" spans="1:9" x14ac:dyDescent="0.25">
      <c r="A82" t="s">
        <v>88</v>
      </c>
      <c r="B82" s="3">
        <v>1732</v>
      </c>
      <c r="C82" s="3">
        <v>1799</v>
      </c>
      <c r="D82" s="2">
        <v>0.04</v>
      </c>
      <c r="E82" t="s">
        <v>33</v>
      </c>
      <c r="F82" t="s">
        <v>33</v>
      </c>
      <c r="G82">
        <v>67</v>
      </c>
      <c r="H82" t="str">
        <f>IF(Table1[[#This Row],[Ratings]]="N/A", "N/A", IF(Table1[[#This Row],[Ratings]]&gt;= 4.5, "Excellent", IF(Table1[[#This Row],[Ratings]]&gt;=3, "Average", "Poor")))</f>
        <v>N/A</v>
      </c>
      <c r="I82" t="str" cm="1">
        <f t="array" ref="I82">_xlfn.SWITCH(TRUE(), Table1[[#This Row],[Discount]]&gt; 40%, "High Discount", Table1[[#This Row],[Discount]]&gt; 20%, "Medium Discount", "Low Discount")</f>
        <v>Low Discount</v>
      </c>
    </row>
    <row r="83" spans="1:9" x14ac:dyDescent="0.25">
      <c r="A83" t="s">
        <v>89</v>
      </c>
      <c r="B83" s="3">
        <v>230</v>
      </c>
      <c r="C83" s="3">
        <v>450</v>
      </c>
      <c r="D83" s="2">
        <v>0.49</v>
      </c>
      <c r="E83" t="s">
        <v>33</v>
      </c>
      <c r="F83" t="s">
        <v>33</v>
      </c>
      <c r="G83">
        <v>220</v>
      </c>
      <c r="H83" t="str">
        <f>IF(Table1[[#This Row],[Ratings]]="N/A", "N/A", IF(Table1[[#This Row],[Ratings]]&gt;= 4.5, "Excellent", IF(Table1[[#This Row],[Ratings]]&gt;=3, "Average", "Poor")))</f>
        <v>N/A</v>
      </c>
      <c r="I83" t="str" cm="1">
        <f t="array" ref="I83">_xlfn.SWITCH(TRUE(), Table1[[#This Row],[Discount]]&gt; 40%, "High Discount", Table1[[#This Row],[Discount]]&gt; 20%, "Medium Discount", "Low Discount")</f>
        <v>High Discount</v>
      </c>
    </row>
    <row r="84" spans="1:9" x14ac:dyDescent="0.25">
      <c r="A84" t="s">
        <v>92</v>
      </c>
      <c r="B84" s="3">
        <v>1460</v>
      </c>
      <c r="C84" s="3">
        <v>2290</v>
      </c>
      <c r="D84" s="2">
        <v>0.36</v>
      </c>
      <c r="E84" t="s">
        <v>33</v>
      </c>
      <c r="F84" t="s">
        <v>33</v>
      </c>
      <c r="G84">
        <v>830</v>
      </c>
      <c r="H84" t="str">
        <f>IF(Table1[[#This Row],[Ratings]]="N/A", "N/A", IF(Table1[[#This Row],[Ratings]]&gt;= 4.5, "Excellent", IF(Table1[[#This Row],[Ratings]]&gt;=3, "Average", "Poor")))</f>
        <v>N/A</v>
      </c>
      <c r="I84" t="str" cm="1">
        <f t="array" ref="I84">_xlfn.SWITCH(TRUE(), Table1[[#This Row],[Discount]]&gt; 40%, "High Discount", Table1[[#This Row],[Discount]]&gt; 20%, "Medium Discount", "Low Discount")</f>
        <v>Medium Discount</v>
      </c>
    </row>
    <row r="85" spans="1:9" x14ac:dyDescent="0.25">
      <c r="A85" t="s">
        <v>93</v>
      </c>
      <c r="B85" s="3">
        <v>1666</v>
      </c>
      <c r="C85" s="3">
        <v>1699</v>
      </c>
      <c r="D85" s="2">
        <v>0.02</v>
      </c>
      <c r="E85" t="s">
        <v>33</v>
      </c>
      <c r="F85" t="s">
        <v>33</v>
      </c>
      <c r="G85">
        <v>33</v>
      </c>
      <c r="H85" t="str">
        <f>IF(Table1[[#This Row],[Ratings]]="N/A", "N/A", IF(Table1[[#This Row],[Ratings]]&gt;= 4.5, "Excellent", IF(Table1[[#This Row],[Ratings]]&gt;=3, "Average", "Poor")))</f>
        <v>N/A</v>
      </c>
      <c r="I85" t="str" cm="1">
        <f t="array" ref="I85">_xlfn.SWITCH(TRUE(), Table1[[#This Row],[Discount]]&gt; 40%, "High Discount", Table1[[#This Row],[Discount]]&gt; 20%, "Medium Discount", "Low Discount")</f>
        <v>Low Discount</v>
      </c>
    </row>
    <row r="86" spans="1:9" x14ac:dyDescent="0.25">
      <c r="A86" t="s">
        <v>95</v>
      </c>
      <c r="B86" s="3">
        <v>1466</v>
      </c>
      <c r="C86" s="3">
        <v>1699</v>
      </c>
      <c r="D86" s="2">
        <v>0.14000000000000001</v>
      </c>
      <c r="E86" t="s">
        <v>33</v>
      </c>
      <c r="F86" t="s">
        <v>33</v>
      </c>
      <c r="G86">
        <v>233</v>
      </c>
      <c r="H86" t="str">
        <f>IF(Table1[[#This Row],[Ratings]]="N/A", "N/A", IF(Table1[[#This Row],[Ratings]]&gt;= 4.5, "Excellent", IF(Table1[[#This Row],[Ratings]]&gt;=3, "Average", "Poor")))</f>
        <v>N/A</v>
      </c>
      <c r="I86" t="str" cm="1">
        <f t="array" ref="I86">_xlfn.SWITCH(TRUE(), Table1[[#This Row],[Discount]]&gt; 40%, "High Discount", Table1[[#This Row],[Discount]]&gt; 20%, "Medium Discount", "Low Discount")</f>
        <v>Low Discount</v>
      </c>
    </row>
    <row r="87" spans="1:9" x14ac:dyDescent="0.25">
      <c r="A87" t="s">
        <v>96</v>
      </c>
      <c r="B87" s="3">
        <v>274</v>
      </c>
      <c r="C87" s="3">
        <v>537</v>
      </c>
      <c r="D87" s="2">
        <v>0.49</v>
      </c>
      <c r="E87" t="s">
        <v>33</v>
      </c>
      <c r="F87" t="s">
        <v>33</v>
      </c>
      <c r="G87">
        <v>263</v>
      </c>
      <c r="H87" t="str">
        <f>IF(Table1[[#This Row],[Ratings]]="N/A", "N/A", IF(Table1[[#This Row],[Ratings]]&gt;= 4.5, "Excellent", IF(Table1[[#This Row],[Ratings]]&gt;=3, "Average", "Poor")))</f>
        <v>N/A</v>
      </c>
      <c r="I87" t="str" cm="1">
        <f t="array" ref="I87">_xlfn.SWITCH(TRUE(), Table1[[#This Row],[Discount]]&gt; 40%, "High Discount", Table1[[#This Row],[Discount]]&gt; 20%, "Medium Discount", "Low Discount")</f>
        <v>High Discount</v>
      </c>
    </row>
    <row r="88" spans="1:9" x14ac:dyDescent="0.25">
      <c r="A88" t="s">
        <v>97</v>
      </c>
      <c r="B88" s="3">
        <v>799</v>
      </c>
      <c r="C88" s="3">
        <v>900</v>
      </c>
      <c r="D88" s="2">
        <v>0.11</v>
      </c>
      <c r="E88" t="s">
        <v>33</v>
      </c>
      <c r="F88" t="s">
        <v>33</v>
      </c>
      <c r="G88">
        <v>101</v>
      </c>
      <c r="H88" t="str">
        <f>IF(Table1[[#This Row],[Ratings]]="N/A", "N/A", IF(Table1[[#This Row],[Ratings]]&gt;= 4.5, "Excellent", IF(Table1[[#This Row],[Ratings]]&gt;=3, "Average", "Poor")))</f>
        <v>N/A</v>
      </c>
      <c r="I88" t="str" cm="1">
        <f t="array" ref="I88">_xlfn.SWITCH(TRUE(), Table1[[#This Row],[Discount]]&gt; 40%, "High Discount", Table1[[#This Row],[Discount]]&gt; 20%, "Medium Discount", "Low Discount")</f>
        <v>Low Discount</v>
      </c>
    </row>
    <row r="89" spans="1:9" x14ac:dyDescent="0.25">
      <c r="A89" t="s">
        <v>98</v>
      </c>
      <c r="B89" s="3">
        <v>1468</v>
      </c>
      <c r="C89" s="3">
        <v>1699</v>
      </c>
      <c r="D89" s="2">
        <v>0.14000000000000001</v>
      </c>
      <c r="E89" t="s">
        <v>33</v>
      </c>
      <c r="F89" t="s">
        <v>33</v>
      </c>
      <c r="G89">
        <v>231</v>
      </c>
      <c r="H89" t="str">
        <f>IF(Table1[[#This Row],[Ratings]]="N/A", "N/A", IF(Table1[[#This Row],[Ratings]]&gt;= 4.5, "Excellent", IF(Table1[[#This Row],[Ratings]]&gt;=3, "Average", "Poor")))</f>
        <v>N/A</v>
      </c>
      <c r="I89" t="str" cm="1">
        <f t="array" ref="I89">_xlfn.SWITCH(TRUE(), Table1[[#This Row],[Discount]]&gt; 40%, "High Discount", Table1[[#This Row],[Discount]]&gt; 20%, "Medium Discount", "Low Discount")</f>
        <v>Low Discount</v>
      </c>
    </row>
    <row r="90" spans="1:9" x14ac:dyDescent="0.25">
      <c r="A90" t="s">
        <v>99</v>
      </c>
      <c r="B90" s="3">
        <v>630</v>
      </c>
      <c r="C90" s="3">
        <v>1100</v>
      </c>
      <c r="D90" s="2">
        <v>0.43</v>
      </c>
      <c r="E90" t="s">
        <v>33</v>
      </c>
      <c r="F90" t="s">
        <v>33</v>
      </c>
      <c r="G90">
        <v>470</v>
      </c>
      <c r="H90" t="str">
        <f>IF(Table1[[#This Row],[Ratings]]="N/A", "N/A", IF(Table1[[#This Row],[Ratings]]&gt;= 4.5, "Excellent", IF(Table1[[#This Row],[Ratings]]&gt;=3, "Average", "Poor")))</f>
        <v>N/A</v>
      </c>
      <c r="I90" t="str" cm="1">
        <f t="array" ref="I90">_xlfn.SWITCH(TRUE(), Table1[[#This Row],[Discount]]&gt; 40%, "High Discount", Table1[[#This Row],[Discount]]&gt; 20%, "Medium Discount", "Low Discount")</f>
        <v>High Discount</v>
      </c>
    </row>
    <row r="91" spans="1:9" x14ac:dyDescent="0.25">
      <c r="A91" t="s">
        <v>100</v>
      </c>
      <c r="B91" s="3">
        <v>850</v>
      </c>
      <c r="C91" s="3">
        <v>1700</v>
      </c>
      <c r="D91" s="2">
        <v>0.5</v>
      </c>
      <c r="E91" t="s">
        <v>33</v>
      </c>
      <c r="F91" t="s">
        <v>33</v>
      </c>
      <c r="G91">
        <v>850</v>
      </c>
      <c r="H91" t="str">
        <f>IF(Table1[[#This Row],[Ratings]]="N/A", "N/A", IF(Table1[[#This Row],[Ratings]]&gt;= 4.5, "Excellent", IF(Table1[[#This Row],[Ratings]]&gt;=3, "Average", "Poor")))</f>
        <v>N/A</v>
      </c>
      <c r="I91" t="str" cm="1">
        <f t="array" ref="I91">_xlfn.SWITCH(TRUE(), Table1[[#This Row],[Discount]]&gt; 40%, "High Discount", Table1[[#This Row],[Discount]]&gt; 20%, "Medium Discount", "Low Discount")</f>
        <v>High Discount</v>
      </c>
    </row>
    <row r="92" spans="1:9" x14ac:dyDescent="0.25">
      <c r="A92" t="s">
        <v>101</v>
      </c>
      <c r="B92" s="3">
        <v>1300</v>
      </c>
      <c r="C92" s="3">
        <v>2500</v>
      </c>
      <c r="D92" s="2">
        <v>0.48</v>
      </c>
      <c r="E92" t="s">
        <v>33</v>
      </c>
      <c r="F92" t="s">
        <v>33</v>
      </c>
      <c r="G92" s="1">
        <v>1200</v>
      </c>
      <c r="H92" t="str">
        <f>IF(Table1[[#This Row],[Ratings]]="N/A", "N/A", IF(Table1[[#This Row],[Ratings]]&gt;= 4.5, "Excellent", IF(Table1[[#This Row],[Ratings]]&gt;=3, "Average", "Poor")))</f>
        <v>N/A</v>
      </c>
      <c r="I92" t="str" cm="1">
        <f t="array" ref="I92">_xlfn.SWITCH(TRUE(), Table1[[#This Row],[Discount]]&gt; 40%, "High Discount", Table1[[#This Row],[Discount]]&gt; 20%, "Medium Discount", "Low Discount")</f>
        <v>High Discount</v>
      </c>
    </row>
    <row r="93" spans="1:9" x14ac:dyDescent="0.25">
      <c r="A93" t="s">
        <v>102</v>
      </c>
      <c r="B93" s="3">
        <v>105</v>
      </c>
      <c r="C93" s="3">
        <v>200</v>
      </c>
      <c r="D93" s="2">
        <v>0.48</v>
      </c>
      <c r="E93" t="s">
        <v>33</v>
      </c>
      <c r="F93" t="s">
        <v>33</v>
      </c>
      <c r="G93">
        <v>95</v>
      </c>
      <c r="H93" t="str">
        <f>IF(Table1[[#This Row],[Ratings]]="N/A", "N/A", IF(Table1[[#This Row],[Ratings]]&gt;= 4.5, "Excellent", IF(Table1[[#This Row],[Ratings]]&gt;=3, "Average", "Poor")))</f>
        <v>N/A</v>
      </c>
      <c r="I93" t="str" cm="1">
        <f t="array" ref="I93">_xlfn.SWITCH(TRUE(), Table1[[#This Row],[Discount]]&gt; 40%, "High Discount", Table1[[#This Row],[Discount]]&gt; 20%, "Medium Discount", "Low Discount")</f>
        <v>High Discount</v>
      </c>
    </row>
    <row r="94" spans="1:9" x14ac:dyDescent="0.25">
      <c r="A94" t="s">
        <v>103</v>
      </c>
      <c r="B94" s="3">
        <v>899</v>
      </c>
      <c r="C94" s="3">
        <v>1699</v>
      </c>
      <c r="D94" s="2">
        <v>0.47</v>
      </c>
      <c r="E94" t="s">
        <v>33</v>
      </c>
      <c r="F94" t="s">
        <v>33</v>
      </c>
      <c r="G94">
        <v>800</v>
      </c>
      <c r="H94" t="str">
        <f>IF(Table1[[#This Row],[Ratings]]="N/A", "N/A", IF(Table1[[#This Row],[Ratings]]&gt;= 4.5, "Excellent", IF(Table1[[#This Row],[Ratings]]&gt;=3, "Average", "Poor")))</f>
        <v>N/A</v>
      </c>
      <c r="I94" t="str" cm="1">
        <f t="array" ref="I94">_xlfn.SWITCH(TRUE(), Table1[[#This Row],[Discount]]&gt; 40%, "High Discount", Table1[[#This Row],[Discount]]&gt; 20%, "Medium Discount", "Low Discount")</f>
        <v>High Discount</v>
      </c>
    </row>
    <row r="95" spans="1:9" x14ac:dyDescent="0.25">
      <c r="A95" t="s">
        <v>104</v>
      </c>
      <c r="B95" s="3">
        <v>1200</v>
      </c>
      <c r="C95" s="3">
        <v>2400</v>
      </c>
      <c r="D95" s="2">
        <v>0.5</v>
      </c>
      <c r="E95" t="s">
        <v>33</v>
      </c>
      <c r="F95" t="s">
        <v>33</v>
      </c>
      <c r="G95" s="1">
        <v>1200</v>
      </c>
      <c r="H95" t="str">
        <f>IF(Table1[[#This Row],[Ratings]]="N/A", "N/A", IF(Table1[[#This Row],[Ratings]]&gt;= 4.5, "Excellent", IF(Table1[[#This Row],[Ratings]]&gt;=3, "Average", "Poor")))</f>
        <v>N/A</v>
      </c>
      <c r="I95" t="str" cm="1">
        <f t="array" ref="I95">_xlfn.SWITCH(TRUE(), Table1[[#This Row],[Discount]]&gt; 40%, "High Discount", Table1[[#This Row],[Discount]]&gt; 20%, "Medium Discount", "Low Discount")</f>
        <v>High Discount</v>
      </c>
    </row>
    <row r="96" spans="1:9" x14ac:dyDescent="0.25">
      <c r="A96" t="s">
        <v>105</v>
      </c>
      <c r="B96" s="3">
        <v>1526</v>
      </c>
      <c r="C96" s="3">
        <v>1660</v>
      </c>
      <c r="D96" s="2">
        <v>0.08</v>
      </c>
      <c r="E96" t="s">
        <v>33</v>
      </c>
      <c r="F96" t="s">
        <v>33</v>
      </c>
      <c r="G96">
        <v>134</v>
      </c>
      <c r="H96" t="str">
        <f>IF(Table1[[#This Row],[Ratings]]="N/A", "N/A", IF(Table1[[#This Row],[Ratings]]&gt;= 4.5, "Excellent", IF(Table1[[#This Row],[Ratings]]&gt;=3, "Average", "Poor")))</f>
        <v>N/A</v>
      </c>
      <c r="I96" t="str" cm="1">
        <f t="array" ref="I96">_xlfn.SWITCH(TRUE(), Table1[[#This Row],[Discount]]&gt; 40%, "High Discount", Table1[[#This Row],[Discount]]&gt; 20%, "Medium Discount", "Low Discount")</f>
        <v>Low Discount</v>
      </c>
    </row>
    <row r="97" spans="1:9" x14ac:dyDescent="0.25">
      <c r="A97" t="s">
        <v>106</v>
      </c>
      <c r="B97" s="3">
        <v>1462</v>
      </c>
      <c r="C97" s="3">
        <v>1499</v>
      </c>
      <c r="D97" s="2">
        <v>0.02</v>
      </c>
      <c r="E97" t="s">
        <v>33</v>
      </c>
      <c r="F97" t="s">
        <v>33</v>
      </c>
      <c r="G97">
        <v>37</v>
      </c>
      <c r="H97" t="str">
        <f>IF(Table1[[#This Row],[Ratings]]="N/A", "N/A", IF(Table1[[#This Row],[Ratings]]&gt;= 4.5, "Excellent", IF(Table1[[#This Row],[Ratings]]&gt;=3, "Average", "Poor")))</f>
        <v>N/A</v>
      </c>
      <c r="I97" t="str" cm="1">
        <f t="array" ref="I97">_xlfn.SWITCH(TRUE(), Table1[[#This Row],[Discount]]&gt; 40%, "High Discount", Table1[[#This Row],[Discount]]&gt; 20%, "Medium Discount", "Low Discount")</f>
        <v>Low Discount</v>
      </c>
    </row>
    <row r="98" spans="1:9" x14ac:dyDescent="0.25">
      <c r="A98" t="s">
        <v>107</v>
      </c>
      <c r="B98" s="3">
        <v>248</v>
      </c>
      <c r="C98" s="3">
        <v>486</v>
      </c>
      <c r="D98" s="2">
        <v>0.49</v>
      </c>
      <c r="E98" t="s">
        <v>33</v>
      </c>
      <c r="F98" t="s">
        <v>33</v>
      </c>
      <c r="G98">
        <v>238</v>
      </c>
      <c r="H98" t="str">
        <f>IF(Table1[[#This Row],[Ratings]]="N/A", "N/A", IF(Table1[[#This Row],[Ratings]]&gt;= 4.5, "Excellent", IF(Table1[[#This Row],[Ratings]]&gt;=3, "Average", "Poor")))</f>
        <v>N/A</v>
      </c>
      <c r="I98" t="str" cm="1">
        <f t="array" ref="I98">_xlfn.SWITCH(TRUE(), Table1[[#This Row],[Discount]]&gt; 40%, "High Discount", Table1[[#This Row],[Discount]]&gt; 20%, "Medium Discount", "Low Discount")</f>
        <v>High Discount</v>
      </c>
    </row>
    <row r="99" spans="1:9" x14ac:dyDescent="0.25">
      <c r="A99" t="s">
        <v>108</v>
      </c>
      <c r="B99" s="3">
        <v>3546</v>
      </c>
      <c r="C99" s="3">
        <v>3699</v>
      </c>
      <c r="D99" s="2">
        <v>0.04</v>
      </c>
      <c r="E99" t="s">
        <v>33</v>
      </c>
      <c r="F99" t="s">
        <v>33</v>
      </c>
      <c r="G99">
        <v>153</v>
      </c>
      <c r="H99" t="str">
        <f>IF(Table1[[#This Row],[Ratings]]="N/A", "N/A", IF(Table1[[#This Row],[Ratings]]&gt;= 4.5, "Excellent", IF(Table1[[#This Row],[Ratings]]&gt;=3, "Average", "Poor")))</f>
        <v>N/A</v>
      </c>
      <c r="I99" t="str" cm="1">
        <f t="array" ref="I99">_xlfn.SWITCH(TRUE(), Table1[[#This Row],[Discount]]&gt; 40%, "High Discount", Table1[[#This Row],[Discount]]&gt; 20%, "Medium Discount", "Low Discount")</f>
        <v>Low Discount</v>
      </c>
    </row>
    <row r="100" spans="1:9" x14ac:dyDescent="0.25">
      <c r="A100" t="s">
        <v>109</v>
      </c>
      <c r="B100" s="3">
        <v>525</v>
      </c>
      <c r="C100" s="3">
        <v>1029</v>
      </c>
      <c r="D100" s="2">
        <v>0.49</v>
      </c>
      <c r="E100" t="s">
        <v>33</v>
      </c>
      <c r="F100" t="s">
        <v>33</v>
      </c>
      <c r="G100">
        <v>504</v>
      </c>
      <c r="H100" t="str">
        <f>IF(Table1[[#This Row],[Ratings]]="N/A", "N/A", IF(Table1[[#This Row],[Ratings]]&gt;= 4.5, "Excellent", IF(Table1[[#This Row],[Ratings]]&gt;=3, "Average", "Poor")))</f>
        <v>N/A</v>
      </c>
      <c r="I100" t="str" cm="1">
        <f t="array" ref="I100">_xlfn.SWITCH(TRUE(), Table1[[#This Row],[Discount]]&gt; 40%, "High Discount", Table1[[#This Row],[Discount]]&gt; 20%, "Medium Discount", "Low Discount")</f>
        <v>High Discount</v>
      </c>
    </row>
    <row r="101" spans="1:9" x14ac:dyDescent="0.25">
      <c r="A101" t="s">
        <v>110</v>
      </c>
      <c r="B101" s="3">
        <v>1080</v>
      </c>
      <c r="C101" s="3">
        <v>1874</v>
      </c>
      <c r="D101" s="2">
        <v>0.42</v>
      </c>
      <c r="E101" t="s">
        <v>33</v>
      </c>
      <c r="F101" t="s">
        <v>33</v>
      </c>
      <c r="G101">
        <v>794</v>
      </c>
      <c r="H101" t="str">
        <f>IF(Table1[[#This Row],[Ratings]]="N/A", "N/A", IF(Table1[[#This Row],[Ratings]]&gt;= 4.5, "Excellent", IF(Table1[[#This Row],[Ratings]]&gt;=3, "Average", "Poor")))</f>
        <v>N/A</v>
      </c>
      <c r="I101" t="str" cm="1">
        <f t="array" ref="I101">_xlfn.SWITCH(TRUE(), Table1[[#This Row],[Discount]]&gt; 40%, "High Discount", Table1[[#This Row],[Discount]]&gt; 20%, "Medium Discount", "Low Discount")</f>
        <v>High Discount</v>
      </c>
    </row>
    <row r="102" spans="1:9" x14ac:dyDescent="0.25">
      <c r="A102" t="s">
        <v>112</v>
      </c>
      <c r="B102" s="3">
        <v>1420</v>
      </c>
      <c r="C102" s="3">
        <v>2420</v>
      </c>
      <c r="D102" s="2">
        <v>0.41</v>
      </c>
      <c r="E102" t="s">
        <v>33</v>
      </c>
      <c r="F102" t="s">
        <v>33</v>
      </c>
      <c r="G102" s="1">
        <v>1000</v>
      </c>
      <c r="H102" t="str">
        <f>IF(Table1[[#This Row],[Ratings]]="N/A", "N/A", IF(Table1[[#This Row],[Ratings]]&gt;= 4.5, "Excellent", IF(Table1[[#This Row],[Ratings]]&gt;=3, "Average", "Poor")))</f>
        <v>N/A</v>
      </c>
      <c r="I102" t="str" cm="1">
        <f t="array" ref="I102">_xlfn.SWITCH(TRUE(), Table1[[#This Row],[Discount]]&gt; 40%, "High Discount", Table1[[#This Row],[Discount]]&gt; 20%, "Medium Discount", "Low Discount")</f>
        <v>High Discount</v>
      </c>
    </row>
    <row r="103" spans="1:9" x14ac:dyDescent="0.25">
      <c r="A103" t="s">
        <v>113</v>
      </c>
      <c r="B103" s="3">
        <v>1875</v>
      </c>
      <c r="C103" s="3">
        <v>1899</v>
      </c>
      <c r="D103" s="2">
        <v>0.01</v>
      </c>
      <c r="E103" t="s">
        <v>33</v>
      </c>
      <c r="F103" t="s">
        <v>33</v>
      </c>
      <c r="G103">
        <v>24</v>
      </c>
      <c r="H103" t="str">
        <f>IF(Table1[[#This Row],[Ratings]]="N/A", "N/A", IF(Table1[[#This Row],[Ratings]]&gt;= 4.5, "Excellent", IF(Table1[[#This Row],[Ratings]]&gt;=3, "Average", "Poor")))</f>
        <v>N/A</v>
      </c>
      <c r="I103" t="str" cm="1">
        <f t="array" ref="I103">_xlfn.SWITCH(TRUE(), Table1[[#This Row],[Discount]]&gt; 40%, "High Discount", Table1[[#This Row],[Discount]]&gt; 20%, "Medium Discount", "Low Discount")</f>
        <v>Low Discount</v>
      </c>
    </row>
    <row r="104" spans="1:9" x14ac:dyDescent="0.25">
      <c r="A104" t="s">
        <v>114</v>
      </c>
      <c r="B104" s="3">
        <v>198</v>
      </c>
      <c r="C104" s="3">
        <v>260</v>
      </c>
      <c r="D104" s="2">
        <v>0.24</v>
      </c>
      <c r="E104" t="s">
        <v>33</v>
      </c>
      <c r="F104" t="s">
        <v>33</v>
      </c>
      <c r="G104">
        <v>62</v>
      </c>
      <c r="H104" t="str">
        <f>IF(Table1[[#This Row],[Ratings]]="N/A", "N/A", IF(Table1[[#This Row],[Ratings]]&gt;= 4.5, "Excellent", IF(Table1[[#This Row],[Ratings]]&gt;=3, "Average", "Poor")))</f>
        <v>N/A</v>
      </c>
      <c r="I104" t="str" cm="1">
        <f t="array" ref="I104">_xlfn.SWITCH(TRUE(), Table1[[#This Row],[Discount]]&gt; 40%, "High Discount", Table1[[#This Row],[Discount]]&gt; 20%, "Medium Discount", "Low Discount")</f>
        <v>Medium Discount</v>
      </c>
    </row>
    <row r="105" spans="1:9" x14ac:dyDescent="0.25">
      <c r="A105" t="s">
        <v>115</v>
      </c>
      <c r="B105" s="3">
        <v>1150</v>
      </c>
      <c r="C105" s="3">
        <v>1737</v>
      </c>
      <c r="D105" s="2">
        <v>0.34</v>
      </c>
      <c r="E105" t="s">
        <v>33</v>
      </c>
      <c r="F105" t="s">
        <v>33</v>
      </c>
      <c r="G105">
        <v>587</v>
      </c>
      <c r="H105" t="str">
        <f>IF(Table1[[#This Row],[Ratings]]="N/A", "N/A", IF(Table1[[#This Row],[Ratings]]&gt;= 4.5, "Excellent", IF(Table1[[#This Row],[Ratings]]&gt;=3, "Average", "Poor")))</f>
        <v>N/A</v>
      </c>
      <c r="I105" t="str" cm="1">
        <f t="array" ref="I105">_xlfn.SWITCH(TRUE(), Table1[[#This Row],[Discount]]&gt; 40%, "High Discount", Table1[[#This Row],[Discount]]&gt; 20%, "Medium Discount", "Low Discount")</f>
        <v>Medium Discount</v>
      </c>
    </row>
    <row r="106" spans="1:9" x14ac:dyDescent="0.25">
      <c r="A106" t="s">
        <v>116</v>
      </c>
      <c r="B106" s="3">
        <v>1190</v>
      </c>
      <c r="C106" s="3">
        <v>1810</v>
      </c>
      <c r="D106" s="2">
        <v>0.34</v>
      </c>
      <c r="E106" t="s">
        <v>33</v>
      </c>
      <c r="F106" t="s">
        <v>33</v>
      </c>
      <c r="G106">
        <v>620</v>
      </c>
      <c r="H106" t="str">
        <f>IF(Table1[[#This Row],[Ratings]]="N/A", "N/A", IF(Table1[[#This Row],[Ratings]]&gt;= 4.5, "Excellent", IF(Table1[[#This Row],[Ratings]]&gt;=3, "Average", "Poor")))</f>
        <v>N/A</v>
      </c>
      <c r="I106" t="str" cm="1">
        <f t="array" ref="I106">_xlfn.SWITCH(TRUE(), Table1[[#This Row],[Discount]]&gt; 40%, "High Discount", Table1[[#This Row],[Discount]]&gt; 20%, "Medium Discount", "Low Discount")</f>
        <v>Medium Discount</v>
      </c>
    </row>
    <row r="107" spans="1:9" x14ac:dyDescent="0.25">
      <c r="A107" t="s">
        <v>117</v>
      </c>
      <c r="B107" s="3">
        <v>1658</v>
      </c>
      <c r="C107" s="3">
        <v>1699</v>
      </c>
      <c r="D107" s="2">
        <v>0.02</v>
      </c>
      <c r="E107" t="s">
        <v>33</v>
      </c>
      <c r="F107" t="s">
        <v>33</v>
      </c>
      <c r="G107">
        <v>41</v>
      </c>
      <c r="H107" t="str">
        <f>IF(Table1[[#This Row],[Ratings]]="N/A", "N/A", IF(Table1[[#This Row],[Ratings]]&gt;= 4.5, "Excellent", IF(Table1[[#This Row],[Ratings]]&gt;=3, "Average", "Poor")))</f>
        <v>N/A</v>
      </c>
      <c r="I107" t="str" cm="1">
        <f t="array" ref="I107">_xlfn.SWITCH(TRUE(), Table1[[#This Row],[Discount]]&gt; 40%, "High Discount", Table1[[#This Row],[Discount]]&gt; 20%, "Medium Discount", "Low Discount")</f>
        <v>Low Discount</v>
      </c>
    </row>
    <row r="108" spans="1:9" x14ac:dyDescent="0.25">
      <c r="A108" t="s">
        <v>118</v>
      </c>
      <c r="B108" s="3">
        <v>1768</v>
      </c>
      <c r="C108" s="3">
        <v>1799</v>
      </c>
      <c r="D108" s="2">
        <v>0.02</v>
      </c>
      <c r="E108" t="s">
        <v>33</v>
      </c>
      <c r="F108" t="s">
        <v>33</v>
      </c>
      <c r="G108">
        <v>31</v>
      </c>
      <c r="H108" t="str">
        <f>IF(Table1[[#This Row],[Ratings]]="N/A", "N/A", IF(Table1[[#This Row],[Ratings]]&gt;= 4.5, "Excellent", IF(Table1[[#This Row],[Ratings]]&gt;=3, "Average", "Poor")))</f>
        <v>N/A</v>
      </c>
      <c r="I108" t="str" cm="1">
        <f t="array" ref="I108">_xlfn.SWITCH(TRUE(), Table1[[#This Row],[Discount]]&gt; 40%, "High Discount", Table1[[#This Row],[Discount]]&gt; 20%, "Medium Discount", "Low Discount")</f>
        <v>Low Discount</v>
      </c>
    </row>
    <row r="109" spans="1:9" x14ac:dyDescent="0.25">
      <c r="A109" t="s">
        <v>119</v>
      </c>
      <c r="B109" s="3">
        <v>199</v>
      </c>
      <c r="C109" s="3">
        <v>553</v>
      </c>
      <c r="D109" s="2">
        <v>0.64</v>
      </c>
      <c r="E109" t="s">
        <v>33</v>
      </c>
      <c r="F109" t="s">
        <v>33</v>
      </c>
      <c r="G109">
        <v>354</v>
      </c>
      <c r="H109" t="str">
        <f>IF(Table1[[#This Row],[Ratings]]="N/A", "N/A", IF(Table1[[#This Row],[Ratings]]&gt;= 4.5, "Excellent", IF(Table1[[#This Row],[Ratings]]&gt;=3, "Average", "Poor")))</f>
        <v>N/A</v>
      </c>
      <c r="I109" t="str" cm="1">
        <f t="array" ref="I109">_xlfn.SWITCH(TRUE(), Table1[[#This Row],[Discount]]&gt; 40%, "High Discount", Table1[[#This Row],[Discount]]&gt; 20%, "Medium Discount", "Low Discount")</f>
        <v>High Discount</v>
      </c>
    </row>
    <row r="110" spans="1:9" x14ac:dyDescent="0.25">
      <c r="A110" t="s">
        <v>121</v>
      </c>
      <c r="B110" s="3">
        <v>169</v>
      </c>
      <c r="C110" s="3">
        <v>320</v>
      </c>
      <c r="D110" s="2">
        <v>0.47</v>
      </c>
      <c r="E110" t="s">
        <v>33</v>
      </c>
      <c r="F110" t="s">
        <v>33</v>
      </c>
      <c r="G110">
        <v>151</v>
      </c>
      <c r="H110" t="str">
        <f>IF(Table1[[#This Row],[Ratings]]="N/A", "N/A", IF(Table1[[#This Row],[Ratings]]&gt;= 4.5, "Excellent", IF(Table1[[#This Row],[Ratings]]&gt;=3, "Average", "Poor")))</f>
        <v>N/A</v>
      </c>
      <c r="I110" t="str" cm="1">
        <f t="array" ref="I110">_xlfn.SWITCH(TRUE(), Table1[[#This Row],[Discount]]&gt; 40%, "High Discount", Table1[[#This Row],[Discount]]&gt; 20%, "Medium Discount", "Low Discount")</f>
        <v>High Discount</v>
      </c>
    </row>
    <row r="111" spans="1:9" x14ac:dyDescent="0.25">
      <c r="D111" s="2"/>
      <c r="H111" s="4"/>
      <c r="I11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BAD3D-9922-4D86-8EB7-D3CDCAA0E4AA}">
  <dimension ref="A1:F34"/>
  <sheetViews>
    <sheetView workbookViewId="0">
      <selection activeCell="B2" sqref="B2"/>
    </sheetView>
  </sheetViews>
  <sheetFormatPr defaultRowHeight="15" x14ac:dyDescent="0.25"/>
  <cols>
    <col min="1" max="1" width="16" bestFit="1" customWidth="1"/>
    <col min="2" max="2" width="14.28515625" bestFit="1" customWidth="1"/>
    <col min="3" max="3" width="19.7109375" bestFit="1" customWidth="1"/>
    <col min="4" max="4" width="23.42578125" bestFit="1" customWidth="1"/>
    <col min="5" max="5" width="19" bestFit="1" customWidth="1"/>
    <col min="6" max="6" width="17.7109375" bestFit="1" customWidth="1"/>
    <col min="7" max="7" width="16" bestFit="1" customWidth="1"/>
  </cols>
  <sheetData>
    <row r="1" spans="1:6" x14ac:dyDescent="0.25">
      <c r="A1" t="s">
        <v>133</v>
      </c>
      <c r="B1" t="s">
        <v>137</v>
      </c>
      <c r="C1" t="s">
        <v>125</v>
      </c>
      <c r="D1" t="s">
        <v>127</v>
      </c>
      <c r="E1" t="s">
        <v>129</v>
      </c>
      <c r="F1" t="s">
        <v>132</v>
      </c>
    </row>
    <row r="2" spans="1:6" x14ac:dyDescent="0.25">
      <c r="A2" s="11">
        <v>109</v>
      </c>
      <c r="B2" s="11">
        <v>723</v>
      </c>
      <c r="C2" s="5">
        <v>1842.3394495412845</v>
      </c>
      <c r="D2" s="5">
        <v>1209.9082568807339</v>
      </c>
      <c r="E2" s="7">
        <v>0.36385321100917423</v>
      </c>
      <c r="F2" s="5">
        <v>3.8894736842105258</v>
      </c>
    </row>
    <row r="5" spans="1:6" x14ac:dyDescent="0.25">
      <c r="A5" s="8" t="s">
        <v>136</v>
      </c>
      <c r="B5" t="s">
        <v>126</v>
      </c>
    </row>
    <row r="6" spans="1:6" x14ac:dyDescent="0.25">
      <c r="A6" s="9" t="s">
        <v>79</v>
      </c>
      <c r="B6" s="4">
        <v>3750</v>
      </c>
    </row>
    <row r="7" spans="1:6" x14ac:dyDescent="0.25">
      <c r="A7" s="9" t="s">
        <v>131</v>
      </c>
      <c r="B7" s="4">
        <v>3750</v>
      </c>
    </row>
    <row r="10" spans="1:6" x14ac:dyDescent="0.25">
      <c r="A10" s="8" t="s">
        <v>135</v>
      </c>
      <c r="B10" t="s">
        <v>126</v>
      </c>
    </row>
    <row r="11" spans="1:6" x14ac:dyDescent="0.25">
      <c r="A11" s="9" t="s">
        <v>31</v>
      </c>
      <c r="B11" s="4">
        <v>38</v>
      </c>
    </row>
    <row r="12" spans="1:6" x14ac:dyDescent="0.25">
      <c r="A12" s="9" t="s">
        <v>131</v>
      </c>
      <c r="B12" s="4">
        <v>38</v>
      </c>
    </row>
    <row r="15" spans="1:6" x14ac:dyDescent="0.25">
      <c r="A15" s="8" t="s">
        <v>5</v>
      </c>
      <c r="B15" t="s">
        <v>129</v>
      </c>
    </row>
    <row r="16" spans="1:6" x14ac:dyDescent="0.25">
      <c r="A16" s="9" t="s">
        <v>11</v>
      </c>
      <c r="B16" s="2">
        <v>0.48203389830508458</v>
      </c>
    </row>
    <row r="17" spans="1:2" x14ac:dyDescent="0.25">
      <c r="A17" s="9" t="s">
        <v>16</v>
      </c>
      <c r="B17" s="2">
        <v>7.8947368421052641E-2</v>
      </c>
    </row>
    <row r="18" spans="1:2" x14ac:dyDescent="0.25">
      <c r="A18" s="9" t="s">
        <v>8</v>
      </c>
      <c r="B18" s="2">
        <v>0.31354838709677407</v>
      </c>
    </row>
    <row r="19" spans="1:2" x14ac:dyDescent="0.25">
      <c r="A19" s="9" t="s">
        <v>131</v>
      </c>
      <c r="B19" s="2">
        <v>0.36385321100917439</v>
      </c>
    </row>
    <row r="20" spans="1:2" x14ac:dyDescent="0.25">
      <c r="A20" s="9"/>
      <c r="B20" s="2"/>
    </row>
    <row r="22" spans="1:2" x14ac:dyDescent="0.25">
      <c r="A22" s="8" t="s">
        <v>5</v>
      </c>
      <c r="B22" t="s">
        <v>132</v>
      </c>
    </row>
    <row r="23" spans="1:2" x14ac:dyDescent="0.25">
      <c r="A23" s="9" t="s">
        <v>11</v>
      </c>
      <c r="B23" s="10">
        <v>3.6133333333333324</v>
      </c>
    </row>
    <row r="24" spans="1:2" x14ac:dyDescent="0.25">
      <c r="A24" s="9" t="s">
        <v>16</v>
      </c>
      <c r="B24" s="10">
        <v>3.8</v>
      </c>
    </row>
    <row r="25" spans="1:2" x14ac:dyDescent="0.25">
      <c r="A25" s="9" t="s">
        <v>8</v>
      </c>
      <c r="B25" s="10">
        <v>4.286363636363637</v>
      </c>
    </row>
    <row r="26" spans="1:2" x14ac:dyDescent="0.25">
      <c r="A26" s="9" t="s">
        <v>131</v>
      </c>
      <c r="B26" s="10">
        <v>3.8894736842105253</v>
      </c>
    </row>
    <row r="27" spans="1:2" x14ac:dyDescent="0.25">
      <c r="A27" s="9"/>
      <c r="B27" s="10"/>
    </row>
    <row r="29" spans="1:2" x14ac:dyDescent="0.25">
      <c r="A29" s="8" t="s">
        <v>134</v>
      </c>
      <c r="B29" t="s">
        <v>133</v>
      </c>
    </row>
    <row r="30" spans="1:2" x14ac:dyDescent="0.25">
      <c r="A30" s="9" t="s">
        <v>10</v>
      </c>
      <c r="B30" s="4">
        <v>22</v>
      </c>
    </row>
    <row r="31" spans="1:2" x14ac:dyDescent="0.25">
      <c r="A31" s="9" t="s">
        <v>7</v>
      </c>
      <c r="B31" s="4">
        <v>23</v>
      </c>
    </row>
    <row r="32" spans="1:2" x14ac:dyDescent="0.25">
      <c r="A32" s="9" t="s">
        <v>33</v>
      </c>
      <c r="B32" s="4">
        <v>52</v>
      </c>
    </row>
    <row r="33" spans="1:2" x14ac:dyDescent="0.25">
      <c r="A33" s="9" t="s">
        <v>71</v>
      </c>
      <c r="B33" s="4">
        <v>12</v>
      </c>
    </row>
    <row r="34" spans="1:2" x14ac:dyDescent="0.25">
      <c r="A34" s="9" t="s">
        <v>131</v>
      </c>
      <c r="B34" s="4">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E9A43-F6D0-4609-9109-2FCEDBD67652}">
  <dimension ref="A3:P139"/>
  <sheetViews>
    <sheetView topLeftCell="A114" workbookViewId="0">
      <selection activeCell="Q130" sqref="Q130"/>
    </sheetView>
  </sheetViews>
  <sheetFormatPr defaultRowHeight="15" x14ac:dyDescent="0.25"/>
  <cols>
    <col min="1" max="1" width="95.7109375" bestFit="1" customWidth="1"/>
    <col min="2" max="2" width="15.42578125" bestFit="1" customWidth="1"/>
    <col min="3" max="3" width="14.28515625" bestFit="1" customWidth="1"/>
  </cols>
  <sheetData>
    <row r="3" spans="1:5" x14ac:dyDescent="0.25">
      <c r="A3" s="8" t="s">
        <v>130</v>
      </c>
      <c r="B3" t="s">
        <v>128</v>
      </c>
      <c r="C3" t="s">
        <v>137</v>
      </c>
      <c r="D3" t="str" cm="1">
        <f t="array" ref="D3:E112">B3:C112</f>
        <v>Sum of Discount</v>
      </c>
      <c r="E3" t="str">
        <v>Sum of Review</v>
      </c>
    </row>
    <row r="4" spans="1:5" x14ac:dyDescent="0.25">
      <c r="A4" s="9" t="s">
        <v>50</v>
      </c>
      <c r="B4" s="2">
        <v>0.38</v>
      </c>
      <c r="C4" s="4">
        <v>2</v>
      </c>
      <c r="D4">
        <v>0.38</v>
      </c>
      <c r="E4">
        <v>2</v>
      </c>
    </row>
    <row r="5" spans="1:5" x14ac:dyDescent="0.25">
      <c r="A5" s="9" t="s">
        <v>22</v>
      </c>
      <c r="B5" s="2">
        <v>0.34</v>
      </c>
      <c r="C5" s="4">
        <v>39</v>
      </c>
      <c r="D5">
        <v>0.34</v>
      </c>
      <c r="E5">
        <v>39</v>
      </c>
    </row>
    <row r="6" spans="1:5" x14ac:dyDescent="0.25">
      <c r="A6" s="9" t="s">
        <v>6</v>
      </c>
      <c r="B6" s="2">
        <v>0.38</v>
      </c>
      <c r="C6" s="4">
        <v>2</v>
      </c>
      <c r="D6">
        <v>0.38</v>
      </c>
      <c r="E6">
        <v>2</v>
      </c>
    </row>
    <row r="7" spans="1:5" x14ac:dyDescent="0.25">
      <c r="A7" s="9" t="s">
        <v>39</v>
      </c>
      <c r="B7" s="2">
        <v>0.32</v>
      </c>
      <c r="C7" s="4">
        <v>13</v>
      </c>
      <c r="D7">
        <v>0.32</v>
      </c>
      <c r="E7">
        <v>13</v>
      </c>
    </row>
    <row r="8" spans="1:5" x14ac:dyDescent="0.25">
      <c r="A8" s="9" t="s">
        <v>43</v>
      </c>
      <c r="B8" s="2">
        <v>0.34</v>
      </c>
      <c r="C8" s="4">
        <v>12</v>
      </c>
      <c r="D8">
        <v>0.34</v>
      </c>
      <c r="E8">
        <v>12</v>
      </c>
    </row>
    <row r="9" spans="1:5" x14ac:dyDescent="0.25">
      <c r="A9" s="9" t="s">
        <v>74</v>
      </c>
      <c r="B9" s="2">
        <v>0.49</v>
      </c>
      <c r="C9" s="4">
        <v>69</v>
      </c>
      <c r="D9">
        <v>0.49</v>
      </c>
      <c r="E9">
        <v>69</v>
      </c>
    </row>
    <row r="10" spans="1:5" x14ac:dyDescent="0.25">
      <c r="A10" s="9" t="s">
        <v>69</v>
      </c>
      <c r="B10" s="2">
        <v>0.27</v>
      </c>
      <c r="C10" s="4">
        <v>0</v>
      </c>
      <c r="D10">
        <v>0.27</v>
      </c>
      <c r="E10">
        <v>0</v>
      </c>
    </row>
    <row r="11" spans="1:5" x14ac:dyDescent="0.25">
      <c r="A11" s="9" t="s">
        <v>20</v>
      </c>
      <c r="B11" s="2">
        <v>0.45</v>
      </c>
      <c r="C11" s="4">
        <v>5</v>
      </c>
      <c r="D11">
        <v>0.45</v>
      </c>
      <c r="E11">
        <v>5</v>
      </c>
    </row>
    <row r="12" spans="1:5" x14ac:dyDescent="0.25">
      <c r="A12" s="9" t="s">
        <v>17</v>
      </c>
      <c r="B12" s="2">
        <v>0.24</v>
      </c>
      <c r="C12" s="4">
        <v>55</v>
      </c>
      <c r="D12">
        <v>0.24</v>
      </c>
      <c r="E12">
        <v>55</v>
      </c>
    </row>
    <row r="13" spans="1:5" x14ac:dyDescent="0.25">
      <c r="A13" s="9" t="s">
        <v>114</v>
      </c>
      <c r="B13" s="2">
        <v>0.24</v>
      </c>
      <c r="C13" s="4">
        <v>0</v>
      </c>
      <c r="D13">
        <v>0.24</v>
      </c>
      <c r="E13">
        <v>0</v>
      </c>
    </row>
    <row r="14" spans="1:5" x14ac:dyDescent="0.25">
      <c r="A14" s="9" t="s">
        <v>93</v>
      </c>
      <c r="B14" s="2">
        <v>0.02</v>
      </c>
      <c r="C14" s="4">
        <v>0</v>
      </c>
      <c r="D14">
        <v>0.02</v>
      </c>
      <c r="E14">
        <v>0</v>
      </c>
    </row>
    <row r="15" spans="1:5" x14ac:dyDescent="0.25">
      <c r="A15" s="9" t="s">
        <v>15</v>
      </c>
      <c r="B15" s="2">
        <v>0.09</v>
      </c>
      <c r="C15" s="4">
        <v>15</v>
      </c>
      <c r="D15">
        <v>0.09</v>
      </c>
      <c r="E15">
        <v>15</v>
      </c>
    </row>
    <row r="16" spans="1:5" x14ac:dyDescent="0.25">
      <c r="A16" s="9" t="s">
        <v>113</v>
      </c>
      <c r="B16" s="2">
        <v>0.01</v>
      </c>
      <c r="C16" s="4">
        <v>0</v>
      </c>
      <c r="D16">
        <v>0.01</v>
      </c>
      <c r="E16">
        <v>0</v>
      </c>
    </row>
    <row r="17" spans="1:5" x14ac:dyDescent="0.25">
      <c r="A17" s="9" t="s">
        <v>104</v>
      </c>
      <c r="B17" s="2">
        <v>0.5</v>
      </c>
      <c r="C17" s="4">
        <v>0</v>
      </c>
      <c r="D17">
        <v>0.5</v>
      </c>
      <c r="E17">
        <v>0</v>
      </c>
    </row>
    <row r="18" spans="1:5" x14ac:dyDescent="0.25">
      <c r="A18" s="9" t="s">
        <v>59</v>
      </c>
      <c r="B18" s="2">
        <v>0.38</v>
      </c>
      <c r="C18" s="4">
        <v>0</v>
      </c>
      <c r="D18">
        <v>0.38</v>
      </c>
      <c r="E18">
        <v>0</v>
      </c>
    </row>
    <row r="19" spans="1:5" x14ac:dyDescent="0.25">
      <c r="A19" s="9" t="s">
        <v>86</v>
      </c>
      <c r="B19" s="2">
        <v>0.47</v>
      </c>
      <c r="C19" s="4">
        <v>0</v>
      </c>
      <c r="D19">
        <v>0.47</v>
      </c>
      <c r="E19">
        <v>0</v>
      </c>
    </row>
    <row r="20" spans="1:5" x14ac:dyDescent="0.25">
      <c r="A20" s="9" t="s">
        <v>79</v>
      </c>
      <c r="B20" s="2">
        <v>0.39</v>
      </c>
      <c r="C20" s="4">
        <v>5</v>
      </c>
      <c r="D20">
        <v>0.39</v>
      </c>
      <c r="E20">
        <v>5</v>
      </c>
    </row>
    <row r="21" spans="1:5" x14ac:dyDescent="0.25">
      <c r="A21" s="9" t="s">
        <v>78</v>
      </c>
      <c r="B21" s="2">
        <v>0.5</v>
      </c>
      <c r="C21" s="4">
        <v>7</v>
      </c>
      <c r="D21">
        <v>0.5</v>
      </c>
      <c r="E21">
        <v>7</v>
      </c>
    </row>
    <row r="22" spans="1:5" x14ac:dyDescent="0.25">
      <c r="A22" s="9" t="s">
        <v>30</v>
      </c>
      <c r="B22" s="2">
        <v>0.49</v>
      </c>
      <c r="C22" s="4">
        <v>44</v>
      </c>
      <c r="D22">
        <v>0.49</v>
      </c>
      <c r="E22">
        <v>44</v>
      </c>
    </row>
    <row r="23" spans="1:5" x14ac:dyDescent="0.25">
      <c r="A23" s="9" t="s">
        <v>87</v>
      </c>
      <c r="B23" s="2">
        <v>0.43</v>
      </c>
      <c r="C23" s="4">
        <v>0</v>
      </c>
      <c r="D23">
        <v>0.43</v>
      </c>
      <c r="E23">
        <v>0</v>
      </c>
    </row>
    <row r="24" spans="1:5" x14ac:dyDescent="0.25">
      <c r="A24" s="9" t="s">
        <v>31</v>
      </c>
      <c r="B24" s="2">
        <v>0.53</v>
      </c>
      <c r="C24" s="4">
        <v>13</v>
      </c>
      <c r="D24">
        <v>0.53</v>
      </c>
      <c r="E24">
        <v>13</v>
      </c>
    </row>
    <row r="25" spans="1:5" x14ac:dyDescent="0.25">
      <c r="A25" s="9" t="s">
        <v>107</v>
      </c>
      <c r="B25" s="2">
        <v>0.49</v>
      </c>
      <c r="C25" s="4">
        <v>0</v>
      </c>
      <c r="D25">
        <v>0.49</v>
      </c>
      <c r="E25">
        <v>0</v>
      </c>
    </row>
    <row r="26" spans="1:5" x14ac:dyDescent="0.25">
      <c r="A26" s="9" t="s">
        <v>23</v>
      </c>
      <c r="B26" s="2">
        <v>0.47</v>
      </c>
      <c r="C26" s="4">
        <v>12</v>
      </c>
      <c r="D26">
        <v>0.47</v>
      </c>
      <c r="E26">
        <v>12</v>
      </c>
    </row>
    <row r="27" spans="1:5" x14ac:dyDescent="0.25">
      <c r="A27" s="9" t="s">
        <v>52</v>
      </c>
      <c r="B27" s="2">
        <v>0.49</v>
      </c>
      <c r="C27" s="4">
        <v>0</v>
      </c>
      <c r="D27">
        <v>0.49</v>
      </c>
      <c r="E27">
        <v>0</v>
      </c>
    </row>
    <row r="28" spans="1:5" x14ac:dyDescent="0.25">
      <c r="A28" s="9" t="s">
        <v>32</v>
      </c>
      <c r="B28" s="2">
        <v>0.42</v>
      </c>
      <c r="C28" s="4">
        <v>0</v>
      </c>
      <c r="D28">
        <v>0.42</v>
      </c>
      <c r="E28">
        <v>0</v>
      </c>
    </row>
    <row r="29" spans="1:5" x14ac:dyDescent="0.25">
      <c r="A29" s="9" t="s">
        <v>70</v>
      </c>
      <c r="B29" s="2">
        <v>0.13</v>
      </c>
      <c r="C29" s="4">
        <v>6</v>
      </c>
      <c r="D29">
        <v>0.13</v>
      </c>
      <c r="E29">
        <v>6</v>
      </c>
    </row>
    <row r="30" spans="1:5" x14ac:dyDescent="0.25">
      <c r="A30" s="9" t="s">
        <v>40</v>
      </c>
      <c r="B30" s="2">
        <v>0.3</v>
      </c>
      <c r="C30" s="4">
        <v>20</v>
      </c>
      <c r="D30">
        <v>0.3</v>
      </c>
      <c r="E30">
        <v>20</v>
      </c>
    </row>
    <row r="31" spans="1:5" x14ac:dyDescent="0.25">
      <c r="A31" s="9" t="s">
        <v>46</v>
      </c>
      <c r="B31" s="2">
        <v>0.27</v>
      </c>
      <c r="C31" s="4">
        <v>32</v>
      </c>
      <c r="D31">
        <v>0.27</v>
      </c>
      <c r="E31">
        <v>32</v>
      </c>
    </row>
    <row r="32" spans="1:5" x14ac:dyDescent="0.25">
      <c r="A32" s="9" t="s">
        <v>45</v>
      </c>
      <c r="B32" s="2">
        <v>0.27</v>
      </c>
      <c r="C32" s="4">
        <v>20</v>
      </c>
      <c r="D32">
        <v>0.27</v>
      </c>
      <c r="E32">
        <v>20</v>
      </c>
    </row>
    <row r="33" spans="1:5" x14ac:dyDescent="0.25">
      <c r="A33" s="9" t="s">
        <v>92</v>
      </c>
      <c r="B33" s="2">
        <v>0.36</v>
      </c>
      <c r="C33" s="4">
        <v>0</v>
      </c>
      <c r="D33">
        <v>0.36</v>
      </c>
      <c r="E33">
        <v>0</v>
      </c>
    </row>
    <row r="34" spans="1:5" x14ac:dyDescent="0.25">
      <c r="A34" s="9" t="s">
        <v>73</v>
      </c>
      <c r="B34" s="2">
        <v>0.55000000000000004</v>
      </c>
      <c r="C34" s="4">
        <v>13</v>
      </c>
      <c r="D34">
        <v>0.55000000000000004</v>
      </c>
      <c r="E34">
        <v>13</v>
      </c>
    </row>
    <row r="35" spans="1:5" x14ac:dyDescent="0.25">
      <c r="A35" s="9" t="s">
        <v>119</v>
      </c>
      <c r="B35" s="2">
        <v>0.64</v>
      </c>
      <c r="C35" s="4">
        <v>0</v>
      </c>
      <c r="D35">
        <v>0.64</v>
      </c>
      <c r="E35">
        <v>0</v>
      </c>
    </row>
    <row r="36" spans="1:5" x14ac:dyDescent="0.25">
      <c r="A36" s="9" t="s">
        <v>103</v>
      </c>
      <c r="B36" s="2">
        <v>0.47</v>
      </c>
      <c r="C36" s="4">
        <v>0</v>
      </c>
      <c r="D36">
        <v>0.47</v>
      </c>
      <c r="E36">
        <v>0</v>
      </c>
    </row>
    <row r="37" spans="1:5" x14ac:dyDescent="0.25">
      <c r="A37" s="9" t="s">
        <v>57</v>
      </c>
      <c r="B37" s="2">
        <v>0.33</v>
      </c>
      <c r="C37" s="4">
        <v>0</v>
      </c>
      <c r="D37">
        <v>0.33</v>
      </c>
      <c r="E37">
        <v>0</v>
      </c>
    </row>
    <row r="38" spans="1:5" x14ac:dyDescent="0.25">
      <c r="A38" s="9" t="s">
        <v>89</v>
      </c>
      <c r="B38" s="2">
        <v>0.49</v>
      </c>
      <c r="C38" s="4">
        <v>0</v>
      </c>
      <c r="D38">
        <v>0.49</v>
      </c>
      <c r="E38">
        <v>0</v>
      </c>
    </row>
    <row r="39" spans="1:5" x14ac:dyDescent="0.25">
      <c r="A39" s="9" t="s">
        <v>84</v>
      </c>
      <c r="B39" s="2">
        <v>0.47</v>
      </c>
      <c r="C39" s="4">
        <v>6</v>
      </c>
      <c r="D39">
        <v>0.47</v>
      </c>
      <c r="E39">
        <v>6</v>
      </c>
    </row>
    <row r="40" spans="1:5" x14ac:dyDescent="0.25">
      <c r="A40" s="9" t="s">
        <v>110</v>
      </c>
      <c r="B40" s="2">
        <v>0.42</v>
      </c>
      <c r="C40" s="4">
        <v>0</v>
      </c>
      <c r="D40">
        <v>0.42</v>
      </c>
      <c r="E40">
        <v>0</v>
      </c>
    </row>
    <row r="41" spans="1:5" x14ac:dyDescent="0.25">
      <c r="A41" s="9" t="s">
        <v>112</v>
      </c>
      <c r="B41" s="2">
        <v>0.41</v>
      </c>
      <c r="C41" s="4">
        <v>0</v>
      </c>
      <c r="D41">
        <v>0.41</v>
      </c>
      <c r="E41">
        <v>0</v>
      </c>
    </row>
    <row r="42" spans="1:5" x14ac:dyDescent="0.25">
      <c r="A42" s="9" t="s">
        <v>80</v>
      </c>
      <c r="B42" s="2">
        <v>0.45</v>
      </c>
      <c r="C42" s="4">
        <v>17</v>
      </c>
      <c r="D42">
        <v>0.45</v>
      </c>
      <c r="E42">
        <v>17</v>
      </c>
    </row>
    <row r="43" spans="1:5" x14ac:dyDescent="0.25">
      <c r="A43" s="9" t="s">
        <v>68</v>
      </c>
      <c r="B43" s="2">
        <v>0.49</v>
      </c>
      <c r="C43" s="4">
        <v>0</v>
      </c>
      <c r="D43">
        <v>0.49</v>
      </c>
      <c r="E43">
        <v>0</v>
      </c>
    </row>
    <row r="44" spans="1:5" x14ac:dyDescent="0.25">
      <c r="A44" s="9" t="s">
        <v>26</v>
      </c>
      <c r="B44" s="2">
        <v>0.51</v>
      </c>
      <c r="C44" s="4">
        <v>2</v>
      </c>
      <c r="D44">
        <v>0.51</v>
      </c>
      <c r="E44">
        <v>2</v>
      </c>
    </row>
    <row r="45" spans="1:5" x14ac:dyDescent="0.25">
      <c r="A45" s="9" t="s">
        <v>77</v>
      </c>
      <c r="B45" s="2">
        <v>0.45</v>
      </c>
      <c r="C45" s="4">
        <v>6</v>
      </c>
      <c r="D45">
        <v>0.45</v>
      </c>
      <c r="E45">
        <v>6</v>
      </c>
    </row>
    <row r="46" spans="1:5" x14ac:dyDescent="0.25">
      <c r="A46" s="9" t="s">
        <v>109</v>
      </c>
      <c r="B46" s="2">
        <v>0.49</v>
      </c>
      <c r="C46" s="4">
        <v>0</v>
      </c>
      <c r="D46">
        <v>0.49</v>
      </c>
      <c r="E46">
        <v>0</v>
      </c>
    </row>
    <row r="47" spans="1:5" x14ac:dyDescent="0.25">
      <c r="A47" s="9" t="s">
        <v>54</v>
      </c>
      <c r="B47" s="2">
        <v>0.42</v>
      </c>
      <c r="C47" s="4">
        <v>0</v>
      </c>
      <c r="D47">
        <v>0.42</v>
      </c>
      <c r="E47">
        <v>0</v>
      </c>
    </row>
    <row r="48" spans="1:5" x14ac:dyDescent="0.25">
      <c r="A48" s="9" t="s">
        <v>91</v>
      </c>
      <c r="B48" s="2">
        <v>0.49</v>
      </c>
      <c r="C48" s="4">
        <v>1</v>
      </c>
      <c r="D48">
        <v>0.49</v>
      </c>
      <c r="E48">
        <v>1</v>
      </c>
    </row>
    <row r="49" spans="1:5" x14ac:dyDescent="0.25">
      <c r="A49" s="9" t="s">
        <v>121</v>
      </c>
      <c r="B49" s="2">
        <v>0.47</v>
      </c>
      <c r="C49" s="4">
        <v>0</v>
      </c>
      <c r="D49">
        <v>0.47</v>
      </c>
      <c r="E49">
        <v>0</v>
      </c>
    </row>
    <row r="50" spans="1:5" x14ac:dyDescent="0.25">
      <c r="A50" s="9" t="s">
        <v>61</v>
      </c>
      <c r="B50" s="2">
        <v>0.5</v>
      </c>
      <c r="C50" s="4">
        <v>0</v>
      </c>
      <c r="D50">
        <v>0.5</v>
      </c>
      <c r="E50">
        <v>0</v>
      </c>
    </row>
    <row r="51" spans="1:5" x14ac:dyDescent="0.25">
      <c r="A51" s="9" t="s">
        <v>58</v>
      </c>
      <c r="B51" s="2">
        <v>0.49</v>
      </c>
      <c r="C51" s="4">
        <v>0</v>
      </c>
      <c r="D51">
        <v>0.49</v>
      </c>
      <c r="E51">
        <v>0</v>
      </c>
    </row>
    <row r="52" spans="1:5" x14ac:dyDescent="0.25">
      <c r="A52" s="9" t="s">
        <v>96</v>
      </c>
      <c r="B52" s="2">
        <v>0.49</v>
      </c>
      <c r="C52" s="4">
        <v>0</v>
      </c>
      <c r="D52">
        <v>0.49</v>
      </c>
      <c r="E52">
        <v>0</v>
      </c>
    </row>
    <row r="53" spans="1:5" x14ac:dyDescent="0.25">
      <c r="A53" s="9" t="s">
        <v>116</v>
      </c>
      <c r="B53" s="2">
        <v>0.34</v>
      </c>
      <c r="C53" s="4">
        <v>0</v>
      </c>
      <c r="D53">
        <v>0.34</v>
      </c>
      <c r="E53">
        <v>0</v>
      </c>
    </row>
    <row r="54" spans="1:5" x14ac:dyDescent="0.25">
      <c r="A54" s="9" t="s">
        <v>56</v>
      </c>
      <c r="B54" s="2">
        <v>0.5</v>
      </c>
      <c r="C54" s="4">
        <v>0</v>
      </c>
      <c r="D54">
        <v>0.5</v>
      </c>
      <c r="E54">
        <v>0</v>
      </c>
    </row>
    <row r="55" spans="1:5" x14ac:dyDescent="0.25">
      <c r="A55" s="9" t="s">
        <v>67</v>
      </c>
      <c r="B55" s="2">
        <v>0.48</v>
      </c>
      <c r="C55" s="4">
        <v>0</v>
      </c>
      <c r="D55">
        <v>0.48</v>
      </c>
      <c r="E55">
        <v>0</v>
      </c>
    </row>
    <row r="56" spans="1:5" x14ac:dyDescent="0.25">
      <c r="A56" s="9" t="s">
        <v>48</v>
      </c>
      <c r="B56" s="2">
        <v>0.53</v>
      </c>
      <c r="C56" s="4">
        <v>2</v>
      </c>
      <c r="D56">
        <v>0.53</v>
      </c>
      <c r="E56">
        <v>2</v>
      </c>
    </row>
    <row r="57" spans="1:5" x14ac:dyDescent="0.25">
      <c r="A57" s="9" t="s">
        <v>60</v>
      </c>
      <c r="B57" s="2">
        <v>0.61</v>
      </c>
      <c r="C57" s="4">
        <v>0</v>
      </c>
      <c r="D57">
        <v>0.61</v>
      </c>
      <c r="E57">
        <v>0</v>
      </c>
    </row>
    <row r="58" spans="1:5" x14ac:dyDescent="0.25">
      <c r="A58" s="9" t="s">
        <v>88</v>
      </c>
      <c r="B58" s="2">
        <v>0.04</v>
      </c>
      <c r="C58" s="4">
        <v>0</v>
      </c>
      <c r="D58">
        <v>0.04</v>
      </c>
      <c r="E58">
        <v>0</v>
      </c>
    </row>
    <row r="59" spans="1:5" x14ac:dyDescent="0.25">
      <c r="A59" s="9" t="s">
        <v>65</v>
      </c>
      <c r="B59" s="2">
        <v>0.41</v>
      </c>
      <c r="C59" s="4">
        <v>0</v>
      </c>
      <c r="D59">
        <v>0.41</v>
      </c>
      <c r="E59">
        <v>0</v>
      </c>
    </row>
    <row r="60" spans="1:5" x14ac:dyDescent="0.25">
      <c r="A60" s="9" t="s">
        <v>18</v>
      </c>
      <c r="B60" s="2">
        <v>0.37</v>
      </c>
      <c r="C60" s="4">
        <v>2</v>
      </c>
      <c r="D60">
        <v>0.37</v>
      </c>
      <c r="E60">
        <v>2</v>
      </c>
    </row>
    <row r="61" spans="1:5" x14ac:dyDescent="0.25">
      <c r="A61" s="9" t="s">
        <v>47</v>
      </c>
      <c r="B61" s="2">
        <v>0.4</v>
      </c>
      <c r="C61" s="4">
        <v>1</v>
      </c>
      <c r="D61">
        <v>0.4</v>
      </c>
      <c r="E61">
        <v>1</v>
      </c>
    </row>
    <row r="62" spans="1:5" x14ac:dyDescent="0.25">
      <c r="A62" s="9" t="s">
        <v>85</v>
      </c>
      <c r="B62" s="2">
        <v>0.47</v>
      </c>
      <c r="C62" s="4">
        <v>7</v>
      </c>
      <c r="D62">
        <v>0.47</v>
      </c>
      <c r="E62">
        <v>7</v>
      </c>
    </row>
    <row r="63" spans="1:5" x14ac:dyDescent="0.25">
      <c r="A63" s="9" t="s">
        <v>37</v>
      </c>
      <c r="B63" s="2">
        <v>0.35</v>
      </c>
      <c r="C63" s="4">
        <v>49</v>
      </c>
      <c r="D63">
        <v>0.35</v>
      </c>
      <c r="E63">
        <v>49</v>
      </c>
    </row>
    <row r="64" spans="1:5" x14ac:dyDescent="0.25">
      <c r="A64" s="9" t="s">
        <v>42</v>
      </c>
      <c r="B64" s="2">
        <v>0.52</v>
      </c>
      <c r="C64" s="4">
        <v>9</v>
      </c>
      <c r="D64">
        <v>0.52</v>
      </c>
      <c r="E64">
        <v>9</v>
      </c>
    </row>
    <row r="65" spans="1:5" x14ac:dyDescent="0.25">
      <c r="A65" s="9" t="s">
        <v>35</v>
      </c>
      <c r="B65" s="2">
        <v>0.23</v>
      </c>
      <c r="C65" s="4">
        <v>14</v>
      </c>
      <c r="D65">
        <v>0.23</v>
      </c>
      <c r="E65">
        <v>14</v>
      </c>
    </row>
    <row r="66" spans="1:5" x14ac:dyDescent="0.25">
      <c r="A66" s="9" t="s">
        <v>21</v>
      </c>
      <c r="B66" s="2">
        <v>0.2</v>
      </c>
      <c r="C66" s="4">
        <v>12</v>
      </c>
      <c r="D66">
        <v>0.2</v>
      </c>
      <c r="E66">
        <v>12</v>
      </c>
    </row>
    <row r="67" spans="1:5" x14ac:dyDescent="0.25">
      <c r="A67" s="9" t="s">
        <v>94</v>
      </c>
      <c r="B67" s="2">
        <v>0.49</v>
      </c>
      <c r="C67" s="4">
        <v>1</v>
      </c>
      <c r="D67">
        <v>0.49</v>
      </c>
      <c r="E67">
        <v>1</v>
      </c>
    </row>
    <row r="68" spans="1:5" x14ac:dyDescent="0.25">
      <c r="A68" s="9" t="s">
        <v>75</v>
      </c>
      <c r="B68" s="2">
        <v>0.52</v>
      </c>
      <c r="C68" s="4">
        <v>15</v>
      </c>
      <c r="D68">
        <v>0.52</v>
      </c>
      <c r="E68">
        <v>15</v>
      </c>
    </row>
    <row r="69" spans="1:5" x14ac:dyDescent="0.25">
      <c r="A69" s="9" t="s">
        <v>111</v>
      </c>
      <c r="B69" s="2">
        <v>0.21</v>
      </c>
      <c r="C69" s="4">
        <v>1</v>
      </c>
      <c r="D69">
        <v>0.21</v>
      </c>
      <c r="E69">
        <v>1</v>
      </c>
    </row>
    <row r="70" spans="1:5" x14ac:dyDescent="0.25">
      <c r="A70" s="9" t="s">
        <v>81</v>
      </c>
      <c r="B70" s="2">
        <v>0.28999999999999998</v>
      </c>
      <c r="C70" s="4">
        <v>5</v>
      </c>
      <c r="D70">
        <v>0.28999999999999998</v>
      </c>
      <c r="E70">
        <v>5</v>
      </c>
    </row>
    <row r="71" spans="1:5" x14ac:dyDescent="0.25">
      <c r="A71" s="9" t="s">
        <v>36</v>
      </c>
      <c r="B71" s="2">
        <v>0.54</v>
      </c>
      <c r="C71" s="4">
        <v>7</v>
      </c>
      <c r="D71">
        <v>0.54</v>
      </c>
      <c r="E71">
        <v>7</v>
      </c>
    </row>
    <row r="72" spans="1:5" x14ac:dyDescent="0.25">
      <c r="A72" s="9" t="s">
        <v>28</v>
      </c>
      <c r="B72" s="2">
        <v>0.49</v>
      </c>
      <c r="C72" s="4">
        <v>3</v>
      </c>
      <c r="D72">
        <v>0.49</v>
      </c>
      <c r="E72">
        <v>3</v>
      </c>
    </row>
    <row r="73" spans="1:5" x14ac:dyDescent="0.25">
      <c r="A73" s="9" t="s">
        <v>24</v>
      </c>
      <c r="B73" s="2">
        <v>0.42</v>
      </c>
      <c r="C73" s="4">
        <v>6</v>
      </c>
      <c r="D73">
        <v>0.42</v>
      </c>
      <c r="E73">
        <v>6</v>
      </c>
    </row>
    <row r="74" spans="1:5" x14ac:dyDescent="0.25">
      <c r="A74" s="9" t="s">
        <v>19</v>
      </c>
      <c r="B74" s="2">
        <v>0.55000000000000004</v>
      </c>
      <c r="C74" s="4">
        <v>5</v>
      </c>
      <c r="D74">
        <v>0.55000000000000004</v>
      </c>
      <c r="E74">
        <v>5</v>
      </c>
    </row>
    <row r="75" spans="1:5" x14ac:dyDescent="0.25">
      <c r="A75" s="9" t="s">
        <v>51</v>
      </c>
      <c r="B75" s="2">
        <v>0.38</v>
      </c>
      <c r="C75" s="4">
        <v>0</v>
      </c>
      <c r="D75">
        <v>0.38</v>
      </c>
      <c r="E75">
        <v>0</v>
      </c>
    </row>
    <row r="76" spans="1:5" x14ac:dyDescent="0.25">
      <c r="A76" s="9" t="s">
        <v>44</v>
      </c>
      <c r="B76" s="2">
        <v>0.48</v>
      </c>
      <c r="C76" s="4">
        <v>9</v>
      </c>
      <c r="D76">
        <v>0.48</v>
      </c>
      <c r="E76">
        <v>9</v>
      </c>
    </row>
    <row r="77" spans="1:5" x14ac:dyDescent="0.25">
      <c r="A77" s="9" t="s">
        <v>34</v>
      </c>
      <c r="B77" s="2">
        <v>0.35</v>
      </c>
      <c r="C77" s="4">
        <v>6</v>
      </c>
      <c r="D77">
        <v>0.35</v>
      </c>
      <c r="E77">
        <v>6</v>
      </c>
    </row>
    <row r="78" spans="1:5" x14ac:dyDescent="0.25">
      <c r="A78" s="9" t="s">
        <v>115</v>
      </c>
      <c r="B78" s="2">
        <v>0.34</v>
      </c>
      <c r="C78" s="4">
        <v>0</v>
      </c>
      <c r="D78">
        <v>0.34</v>
      </c>
      <c r="E78">
        <v>0</v>
      </c>
    </row>
    <row r="79" spans="1:5" x14ac:dyDescent="0.25">
      <c r="A79" s="9" t="s">
        <v>29</v>
      </c>
      <c r="B79" s="2">
        <v>0.19</v>
      </c>
      <c r="C79" s="4">
        <v>5</v>
      </c>
      <c r="D79">
        <v>0.19</v>
      </c>
      <c r="E79">
        <v>5</v>
      </c>
    </row>
    <row r="80" spans="1:5" x14ac:dyDescent="0.25">
      <c r="A80" s="9" t="s">
        <v>90</v>
      </c>
      <c r="B80" s="2">
        <v>0.46</v>
      </c>
      <c r="C80" s="4">
        <v>1</v>
      </c>
      <c r="D80">
        <v>0.46</v>
      </c>
      <c r="E80">
        <v>1</v>
      </c>
    </row>
    <row r="81" spans="1:5" x14ac:dyDescent="0.25">
      <c r="A81" s="9" t="s">
        <v>9</v>
      </c>
      <c r="B81" s="2">
        <v>0.47</v>
      </c>
      <c r="C81" s="4">
        <v>14</v>
      </c>
      <c r="D81">
        <v>0.47</v>
      </c>
      <c r="E81">
        <v>14</v>
      </c>
    </row>
    <row r="82" spans="1:5" x14ac:dyDescent="0.25">
      <c r="A82" s="9" t="s">
        <v>108</v>
      </c>
      <c r="B82" s="2">
        <v>0.04</v>
      </c>
      <c r="C82" s="4">
        <v>0</v>
      </c>
      <c r="D82">
        <v>0.04</v>
      </c>
      <c r="E82">
        <v>0</v>
      </c>
    </row>
    <row r="83" spans="1:5" x14ac:dyDescent="0.25">
      <c r="A83" s="9" t="s">
        <v>53</v>
      </c>
      <c r="B83" s="2">
        <v>0.5</v>
      </c>
      <c r="C83" s="4">
        <v>0</v>
      </c>
      <c r="D83">
        <v>0.5</v>
      </c>
      <c r="E83">
        <v>0</v>
      </c>
    </row>
    <row r="84" spans="1:5" x14ac:dyDescent="0.25">
      <c r="A84" s="9" t="s">
        <v>25</v>
      </c>
      <c r="B84" s="2">
        <v>0.33</v>
      </c>
      <c r="C84" s="4">
        <v>9</v>
      </c>
      <c r="D84">
        <v>0.33</v>
      </c>
      <c r="E84">
        <v>9</v>
      </c>
    </row>
    <row r="85" spans="1:5" x14ac:dyDescent="0.25">
      <c r="A85" s="9" t="s">
        <v>99</v>
      </c>
      <c r="B85" s="2">
        <v>0.43</v>
      </c>
      <c r="C85" s="4">
        <v>0</v>
      </c>
      <c r="D85">
        <v>0.43</v>
      </c>
      <c r="E85">
        <v>0</v>
      </c>
    </row>
    <row r="86" spans="1:5" x14ac:dyDescent="0.25">
      <c r="A86" s="9" t="s">
        <v>41</v>
      </c>
      <c r="B86" s="2">
        <v>0.46</v>
      </c>
      <c r="C86" s="4">
        <v>0</v>
      </c>
      <c r="D86">
        <v>0.46</v>
      </c>
      <c r="E86">
        <v>0</v>
      </c>
    </row>
    <row r="87" spans="1:5" x14ac:dyDescent="0.25">
      <c r="A87" s="9" t="s">
        <v>64</v>
      </c>
      <c r="B87" s="2">
        <v>0.03</v>
      </c>
      <c r="C87" s="4">
        <v>0</v>
      </c>
      <c r="D87">
        <v>0.03</v>
      </c>
      <c r="E87">
        <v>0</v>
      </c>
    </row>
    <row r="88" spans="1:5" x14ac:dyDescent="0.25">
      <c r="A88" s="9" t="s">
        <v>72</v>
      </c>
      <c r="B88" s="2">
        <v>0.54</v>
      </c>
      <c r="C88" s="4">
        <v>10</v>
      </c>
      <c r="D88">
        <v>0.54</v>
      </c>
      <c r="E88">
        <v>10</v>
      </c>
    </row>
    <row r="89" spans="1:5" x14ac:dyDescent="0.25">
      <c r="A89" s="9" t="s">
        <v>95</v>
      </c>
      <c r="B89" s="2">
        <v>0.14000000000000001</v>
      </c>
      <c r="C89" s="4">
        <v>0</v>
      </c>
      <c r="D89">
        <v>0.14000000000000001</v>
      </c>
      <c r="E89">
        <v>0</v>
      </c>
    </row>
    <row r="90" spans="1:5" x14ac:dyDescent="0.25">
      <c r="A90" s="9" t="s">
        <v>97</v>
      </c>
      <c r="B90" s="2">
        <v>0.11</v>
      </c>
      <c r="C90" s="4">
        <v>0</v>
      </c>
      <c r="D90">
        <v>0.11</v>
      </c>
      <c r="E90">
        <v>0</v>
      </c>
    </row>
    <row r="91" spans="1:5" x14ac:dyDescent="0.25">
      <c r="A91" s="9" t="s">
        <v>27</v>
      </c>
      <c r="B91" s="2">
        <v>0.46</v>
      </c>
      <c r="C91" s="4">
        <v>2</v>
      </c>
      <c r="D91">
        <v>0.46</v>
      </c>
      <c r="E91">
        <v>2</v>
      </c>
    </row>
    <row r="92" spans="1:5" x14ac:dyDescent="0.25">
      <c r="A92" s="9" t="s">
        <v>62</v>
      </c>
      <c r="B92" s="2">
        <v>0.02</v>
      </c>
      <c r="C92" s="4">
        <v>0</v>
      </c>
      <c r="D92">
        <v>0.02</v>
      </c>
      <c r="E92">
        <v>0</v>
      </c>
    </row>
    <row r="93" spans="1:5" x14ac:dyDescent="0.25">
      <c r="A93" s="9" t="s">
        <v>63</v>
      </c>
      <c r="B93" s="2">
        <v>0.22</v>
      </c>
      <c r="C93" s="4">
        <v>0</v>
      </c>
      <c r="D93">
        <v>0.22</v>
      </c>
      <c r="E93">
        <v>0</v>
      </c>
    </row>
    <row r="94" spans="1:5" x14ac:dyDescent="0.25">
      <c r="A94" s="9" t="s">
        <v>14</v>
      </c>
      <c r="B94" s="2">
        <v>0.26</v>
      </c>
      <c r="C94" s="4">
        <v>5</v>
      </c>
      <c r="D94">
        <v>0.26</v>
      </c>
      <c r="E94">
        <v>5</v>
      </c>
    </row>
    <row r="95" spans="1:5" x14ac:dyDescent="0.25">
      <c r="A95" s="9" t="s">
        <v>12</v>
      </c>
      <c r="B95" s="2">
        <v>0.25</v>
      </c>
      <c r="C95" s="4">
        <v>24</v>
      </c>
      <c r="D95">
        <v>0.25</v>
      </c>
      <c r="E95">
        <v>24</v>
      </c>
    </row>
    <row r="96" spans="1:5" x14ac:dyDescent="0.25">
      <c r="A96" s="9" t="s">
        <v>106</v>
      </c>
      <c r="B96" s="2">
        <v>0.02</v>
      </c>
      <c r="C96" s="4">
        <v>0</v>
      </c>
      <c r="D96">
        <v>0.02</v>
      </c>
      <c r="E96">
        <v>0</v>
      </c>
    </row>
    <row r="97" spans="1:5" x14ac:dyDescent="0.25">
      <c r="A97" s="9" t="s">
        <v>38</v>
      </c>
      <c r="B97" s="2">
        <v>0.18</v>
      </c>
      <c r="C97" s="4">
        <v>12</v>
      </c>
      <c r="D97">
        <v>0.18</v>
      </c>
      <c r="E97">
        <v>12</v>
      </c>
    </row>
    <row r="98" spans="1:5" x14ac:dyDescent="0.25">
      <c r="A98" s="9" t="s">
        <v>101</v>
      </c>
      <c r="B98" s="2">
        <v>0.48</v>
      </c>
      <c r="C98" s="4">
        <v>0</v>
      </c>
      <c r="D98">
        <v>0.48</v>
      </c>
      <c r="E98">
        <v>0</v>
      </c>
    </row>
    <row r="99" spans="1:5" x14ac:dyDescent="0.25">
      <c r="A99" s="9" t="s">
        <v>49</v>
      </c>
      <c r="B99" s="2">
        <v>0.41</v>
      </c>
      <c r="C99" s="4">
        <v>36</v>
      </c>
      <c r="D99">
        <v>0.41</v>
      </c>
      <c r="E99">
        <v>36</v>
      </c>
    </row>
    <row r="100" spans="1:5" x14ac:dyDescent="0.25">
      <c r="A100" s="9" t="s">
        <v>102</v>
      </c>
      <c r="B100" s="2">
        <v>0.48</v>
      </c>
      <c r="C100" s="4">
        <v>0</v>
      </c>
      <c r="D100">
        <v>0.48</v>
      </c>
      <c r="E100">
        <v>0</v>
      </c>
    </row>
    <row r="101" spans="1:5" x14ac:dyDescent="0.25">
      <c r="A101" s="9" t="s">
        <v>55</v>
      </c>
      <c r="B101" s="2">
        <v>0.02</v>
      </c>
      <c r="C101" s="4">
        <v>0</v>
      </c>
      <c r="D101">
        <v>0.02</v>
      </c>
      <c r="E101">
        <v>0</v>
      </c>
    </row>
    <row r="102" spans="1:5" x14ac:dyDescent="0.25">
      <c r="A102" s="9" t="s">
        <v>117</v>
      </c>
      <c r="B102" s="2">
        <v>0.02</v>
      </c>
      <c r="C102" s="4">
        <v>0</v>
      </c>
      <c r="D102">
        <v>0.02</v>
      </c>
      <c r="E102">
        <v>0</v>
      </c>
    </row>
    <row r="103" spans="1:5" x14ac:dyDescent="0.25">
      <c r="A103" s="9" t="s">
        <v>66</v>
      </c>
      <c r="B103" s="2">
        <v>0.45</v>
      </c>
      <c r="C103" s="4">
        <v>0</v>
      </c>
      <c r="D103">
        <v>0.45</v>
      </c>
      <c r="E103">
        <v>0</v>
      </c>
    </row>
    <row r="104" spans="1:5" x14ac:dyDescent="0.25">
      <c r="A104" s="9" t="s">
        <v>118</v>
      </c>
      <c r="B104" s="2">
        <v>0.02</v>
      </c>
      <c r="C104" s="4">
        <v>0</v>
      </c>
      <c r="D104">
        <v>0.02</v>
      </c>
      <c r="E104">
        <v>0</v>
      </c>
    </row>
    <row r="105" spans="1:5" x14ac:dyDescent="0.25">
      <c r="A105" s="9" t="s">
        <v>76</v>
      </c>
      <c r="B105" s="2">
        <v>0.22</v>
      </c>
      <c r="C105" s="4">
        <v>16</v>
      </c>
      <c r="D105">
        <v>0.22</v>
      </c>
      <c r="E105">
        <v>16</v>
      </c>
    </row>
    <row r="106" spans="1:5" x14ac:dyDescent="0.25">
      <c r="A106" s="9" t="s">
        <v>100</v>
      </c>
      <c r="B106" s="2">
        <v>0.5</v>
      </c>
      <c r="C106" s="4">
        <v>0</v>
      </c>
      <c r="D106">
        <v>0.5</v>
      </c>
      <c r="E106">
        <v>0</v>
      </c>
    </row>
    <row r="107" spans="1:5" x14ac:dyDescent="0.25">
      <c r="A107" s="9" t="s">
        <v>105</v>
      </c>
      <c r="B107" s="2">
        <v>0.08</v>
      </c>
      <c r="C107" s="4">
        <v>0</v>
      </c>
      <c r="D107">
        <v>0.08</v>
      </c>
      <c r="E107">
        <v>0</v>
      </c>
    </row>
    <row r="108" spans="1:5" x14ac:dyDescent="0.25">
      <c r="A108" s="9" t="s">
        <v>120</v>
      </c>
      <c r="B108" s="2">
        <v>0.5</v>
      </c>
      <c r="C108" s="4">
        <v>1</v>
      </c>
      <c r="D108">
        <v>0.5</v>
      </c>
      <c r="E108">
        <v>1</v>
      </c>
    </row>
    <row r="109" spans="1:5" x14ac:dyDescent="0.25">
      <c r="A109" s="9" t="s">
        <v>98</v>
      </c>
      <c r="B109" s="2">
        <v>0.14000000000000001</v>
      </c>
      <c r="C109" s="4">
        <v>0</v>
      </c>
      <c r="D109">
        <v>0.14000000000000001</v>
      </c>
      <c r="E109">
        <v>0</v>
      </c>
    </row>
    <row r="110" spans="1:5" x14ac:dyDescent="0.25">
      <c r="A110" s="9" t="s">
        <v>82</v>
      </c>
      <c r="B110" s="2">
        <v>0.43</v>
      </c>
      <c r="C110" s="4">
        <v>6</v>
      </c>
      <c r="D110">
        <v>0.43</v>
      </c>
      <c r="E110">
        <v>6</v>
      </c>
    </row>
    <row r="111" spans="1:5" x14ac:dyDescent="0.25">
      <c r="A111" s="9" t="s">
        <v>13</v>
      </c>
      <c r="B111" s="2">
        <v>0.37</v>
      </c>
      <c r="C111" s="4">
        <v>7</v>
      </c>
      <c r="D111">
        <v>0.37</v>
      </c>
      <c r="E111">
        <v>7</v>
      </c>
    </row>
    <row r="112" spans="1:5" x14ac:dyDescent="0.25">
      <c r="A112" s="9" t="s">
        <v>83</v>
      </c>
      <c r="B112" s="2">
        <v>0.43</v>
      </c>
      <c r="C112" s="4">
        <v>5</v>
      </c>
      <c r="D112">
        <v>0.43</v>
      </c>
      <c r="E112">
        <v>5</v>
      </c>
    </row>
    <row r="116" spans="1:5" x14ac:dyDescent="0.25">
      <c r="A116" s="8" t="s">
        <v>130</v>
      </c>
      <c r="B116" t="s">
        <v>137</v>
      </c>
      <c r="D116" t="str" cm="1">
        <f t="array" ref="D116:E138">A116:B138</f>
        <v>Row Labels</v>
      </c>
      <c r="E116" t="str">
        <v>Sum of Review</v>
      </c>
    </row>
    <row r="117" spans="1:5" x14ac:dyDescent="0.25">
      <c r="A117" s="9">
        <v>2</v>
      </c>
      <c r="B117" s="4">
        <v>1</v>
      </c>
      <c r="D117">
        <v>2</v>
      </c>
      <c r="E117">
        <v>1</v>
      </c>
    </row>
    <row r="118" spans="1:5" x14ac:dyDescent="0.25">
      <c r="A118" s="9">
        <v>2.1</v>
      </c>
      <c r="B118" s="4">
        <v>20</v>
      </c>
      <c r="D118">
        <v>2.1</v>
      </c>
      <c r="E118">
        <v>20</v>
      </c>
    </row>
    <row r="119" spans="1:5" x14ac:dyDescent="0.25">
      <c r="A119" s="9">
        <v>2.2000000000000002</v>
      </c>
      <c r="B119" s="4">
        <v>12</v>
      </c>
      <c r="D119">
        <v>2.2000000000000002</v>
      </c>
      <c r="E119">
        <v>12</v>
      </c>
    </row>
    <row r="120" spans="1:5" x14ac:dyDescent="0.25">
      <c r="A120" s="9">
        <v>2.2999999999999998</v>
      </c>
      <c r="B120" s="4">
        <v>13</v>
      </c>
      <c r="D120">
        <v>2.2999999999999998</v>
      </c>
      <c r="E120">
        <v>13</v>
      </c>
    </row>
    <row r="121" spans="1:5" x14ac:dyDescent="0.25">
      <c r="A121" s="9">
        <v>2.5</v>
      </c>
      <c r="B121" s="4">
        <v>6</v>
      </c>
      <c r="D121">
        <v>2.5</v>
      </c>
      <c r="E121">
        <v>6</v>
      </c>
    </row>
    <row r="122" spans="1:5" x14ac:dyDescent="0.25">
      <c r="A122" s="9">
        <v>2.6</v>
      </c>
      <c r="B122" s="4">
        <v>17</v>
      </c>
      <c r="D122">
        <v>2.6</v>
      </c>
      <c r="E122">
        <v>17</v>
      </c>
    </row>
    <row r="123" spans="1:5" x14ac:dyDescent="0.25">
      <c r="A123" s="9">
        <v>2.7</v>
      </c>
      <c r="B123" s="4">
        <v>15</v>
      </c>
      <c r="D123">
        <v>2.7</v>
      </c>
      <c r="E123">
        <v>15</v>
      </c>
    </row>
    <row r="124" spans="1:5" x14ac:dyDescent="0.25">
      <c r="A124" s="9">
        <v>2.8</v>
      </c>
      <c r="B124" s="4">
        <v>69</v>
      </c>
      <c r="D124">
        <v>2.8</v>
      </c>
      <c r="E124">
        <v>69</v>
      </c>
    </row>
    <row r="125" spans="1:5" x14ac:dyDescent="0.25">
      <c r="A125" s="9">
        <v>2.9</v>
      </c>
      <c r="B125" s="4">
        <v>16</v>
      </c>
      <c r="D125">
        <v>2.9</v>
      </c>
      <c r="E125">
        <v>16</v>
      </c>
    </row>
    <row r="126" spans="1:5" x14ac:dyDescent="0.25">
      <c r="A126" s="9">
        <v>3</v>
      </c>
      <c r="B126" s="4">
        <v>26</v>
      </c>
      <c r="D126">
        <v>3</v>
      </c>
      <c r="E126">
        <v>26</v>
      </c>
    </row>
    <row r="127" spans="1:5" x14ac:dyDescent="0.25">
      <c r="A127" s="9">
        <v>3.3</v>
      </c>
      <c r="B127" s="4">
        <v>13</v>
      </c>
      <c r="D127">
        <v>3.3</v>
      </c>
      <c r="E127">
        <v>13</v>
      </c>
    </row>
    <row r="128" spans="1:5" x14ac:dyDescent="0.25">
      <c r="A128" s="9">
        <v>3.8</v>
      </c>
      <c r="B128" s="4">
        <v>30</v>
      </c>
      <c r="D128">
        <v>3.8</v>
      </c>
      <c r="E128">
        <v>30</v>
      </c>
    </row>
    <row r="129" spans="1:5" x14ac:dyDescent="0.25">
      <c r="A129" s="9">
        <v>4</v>
      </c>
      <c r="B129" s="4">
        <v>24</v>
      </c>
      <c r="D129">
        <v>4</v>
      </c>
      <c r="E129">
        <v>24</v>
      </c>
    </row>
    <row r="130" spans="1:5" x14ac:dyDescent="0.25">
      <c r="A130" s="9">
        <v>4.0999999999999996</v>
      </c>
      <c r="B130" s="4">
        <v>46</v>
      </c>
      <c r="D130">
        <v>4.0999999999999996</v>
      </c>
      <c r="E130">
        <v>46</v>
      </c>
    </row>
    <row r="131" spans="1:5" x14ac:dyDescent="0.25">
      <c r="A131" s="9">
        <v>4.2</v>
      </c>
      <c r="B131" s="4">
        <v>9</v>
      </c>
      <c r="D131">
        <v>4.2</v>
      </c>
      <c r="E131">
        <v>9</v>
      </c>
    </row>
    <row r="132" spans="1:5" x14ac:dyDescent="0.25">
      <c r="A132" s="9">
        <v>4.3</v>
      </c>
      <c r="B132" s="4">
        <v>61</v>
      </c>
      <c r="D132">
        <v>4.3</v>
      </c>
      <c r="E132">
        <v>61</v>
      </c>
    </row>
    <row r="133" spans="1:5" x14ac:dyDescent="0.25">
      <c r="A133" s="9">
        <v>4.4000000000000004</v>
      </c>
      <c r="B133" s="4">
        <v>14</v>
      </c>
      <c r="D133">
        <v>4.4000000000000004</v>
      </c>
      <c r="E133">
        <v>14</v>
      </c>
    </row>
    <row r="134" spans="1:5" x14ac:dyDescent="0.25">
      <c r="A134" s="9">
        <v>4.5</v>
      </c>
      <c r="B134" s="4">
        <v>42</v>
      </c>
      <c r="D134">
        <v>4.5</v>
      </c>
      <c r="E134">
        <v>42</v>
      </c>
    </row>
    <row r="135" spans="1:5" x14ac:dyDescent="0.25">
      <c r="A135" s="9">
        <v>4.5999999999999996</v>
      </c>
      <c r="B135" s="4">
        <v>177</v>
      </c>
      <c r="D135">
        <v>4.5999999999999996</v>
      </c>
      <c r="E135">
        <v>177</v>
      </c>
    </row>
    <row r="136" spans="1:5" x14ac:dyDescent="0.25">
      <c r="A136" s="9">
        <v>4.7</v>
      </c>
      <c r="B136" s="4">
        <v>78</v>
      </c>
      <c r="D136">
        <v>4.7</v>
      </c>
      <c r="E136">
        <v>78</v>
      </c>
    </row>
    <row r="137" spans="1:5" x14ac:dyDescent="0.25">
      <c r="A137" s="9">
        <v>4.8</v>
      </c>
      <c r="B137" s="4">
        <v>22</v>
      </c>
      <c r="D137">
        <v>4.8</v>
      </c>
      <c r="E137">
        <v>22</v>
      </c>
    </row>
    <row r="138" spans="1:5" x14ac:dyDescent="0.25">
      <c r="A138" s="9">
        <v>5</v>
      </c>
      <c r="B138" s="4">
        <v>12</v>
      </c>
      <c r="D138">
        <v>5</v>
      </c>
      <c r="E138">
        <v>12</v>
      </c>
    </row>
    <row r="139" spans="1:5" x14ac:dyDescent="0.25">
      <c r="A139" s="9" t="s">
        <v>33</v>
      </c>
      <c r="B139" s="4">
        <v>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8595-F5DA-44A6-946F-0D5FB059AD70}">
  <sheetPr filterMode="1"/>
  <dimension ref="A1:K224"/>
  <sheetViews>
    <sheetView topLeftCell="C1" workbookViewId="0">
      <selection activeCell="A10" sqref="A10"/>
    </sheetView>
  </sheetViews>
  <sheetFormatPr defaultRowHeight="15" x14ac:dyDescent="0.25"/>
  <cols>
    <col min="1" max="1" width="74" bestFit="1" customWidth="1"/>
    <col min="2" max="2" width="15.42578125" bestFit="1" customWidth="1"/>
    <col min="4" max="4" width="62" bestFit="1" customWidth="1"/>
    <col min="5" max="5" width="14.28515625" bestFit="1" customWidth="1"/>
    <col min="7" max="7" width="69.85546875" bestFit="1" customWidth="1"/>
    <col min="8" max="8" width="14.140625" bestFit="1" customWidth="1"/>
    <col min="10" max="10" width="72.140625" bestFit="1" customWidth="1"/>
    <col min="11" max="11" width="17.85546875" bestFit="1" customWidth="1"/>
  </cols>
  <sheetData>
    <row r="1" spans="1:11" x14ac:dyDescent="0.25">
      <c r="J1" s="8" t="s">
        <v>3</v>
      </c>
      <c r="K1" t="s">
        <v>139</v>
      </c>
    </row>
    <row r="2" spans="1:11" x14ac:dyDescent="0.25">
      <c r="A2" s="8" t="s">
        <v>0</v>
      </c>
      <c r="B2" t="s">
        <v>142</v>
      </c>
      <c r="D2" s="8" t="s">
        <v>0</v>
      </c>
      <c r="E2" t="s">
        <v>141</v>
      </c>
      <c r="G2" s="8" t="s">
        <v>0</v>
      </c>
      <c r="H2" t="s">
        <v>143</v>
      </c>
    </row>
    <row r="3" spans="1:11" x14ac:dyDescent="0.25">
      <c r="A3" s="9" t="s">
        <v>119</v>
      </c>
      <c r="B3" s="2">
        <v>0.64</v>
      </c>
      <c r="D3" s="9" t="s">
        <v>74</v>
      </c>
      <c r="E3" s="4">
        <v>69</v>
      </c>
      <c r="G3" s="9" t="s">
        <v>26</v>
      </c>
      <c r="H3" s="4">
        <v>5</v>
      </c>
      <c r="J3" s="8" t="s">
        <v>0</v>
      </c>
      <c r="K3" t="s">
        <v>138</v>
      </c>
    </row>
    <row r="4" spans="1:11" x14ac:dyDescent="0.25">
      <c r="A4" s="9" t="s">
        <v>60</v>
      </c>
      <c r="B4" s="2">
        <v>0.61</v>
      </c>
      <c r="D4" s="9" t="s">
        <v>17</v>
      </c>
      <c r="E4" s="4">
        <v>55</v>
      </c>
      <c r="G4" s="9" t="s">
        <v>91</v>
      </c>
      <c r="H4" s="4">
        <v>5</v>
      </c>
      <c r="J4" s="9" t="s">
        <v>73</v>
      </c>
      <c r="K4" s="4">
        <v>2.1</v>
      </c>
    </row>
    <row r="5" spans="1:11" x14ac:dyDescent="0.25">
      <c r="A5" s="9" t="s">
        <v>19</v>
      </c>
      <c r="B5" s="2">
        <v>0.55000000000000004</v>
      </c>
      <c r="D5" s="9" t="s">
        <v>37</v>
      </c>
      <c r="E5" s="4">
        <v>49</v>
      </c>
      <c r="G5" s="9" t="s">
        <v>48</v>
      </c>
      <c r="H5" s="4">
        <v>5</v>
      </c>
      <c r="J5" s="9" t="s">
        <v>84</v>
      </c>
      <c r="K5" s="4">
        <v>2.2000000000000002</v>
      </c>
    </row>
    <row r="6" spans="1:11" x14ac:dyDescent="0.25">
      <c r="A6" s="9" t="s">
        <v>73</v>
      </c>
      <c r="B6" s="2">
        <v>0.55000000000000004</v>
      </c>
      <c r="D6" s="9" t="s">
        <v>30</v>
      </c>
      <c r="E6" s="4">
        <v>44</v>
      </c>
      <c r="G6" s="9" t="s">
        <v>47</v>
      </c>
      <c r="H6" s="4">
        <v>5</v>
      </c>
      <c r="J6" s="9" t="s">
        <v>77</v>
      </c>
      <c r="K6" s="4">
        <v>2.2000000000000002</v>
      </c>
    </row>
    <row r="7" spans="1:11" x14ac:dyDescent="0.25">
      <c r="A7" s="9" t="s">
        <v>72</v>
      </c>
      <c r="B7" s="2">
        <v>0.54</v>
      </c>
      <c r="D7" s="9" t="s">
        <v>22</v>
      </c>
      <c r="E7" s="4">
        <v>39</v>
      </c>
      <c r="G7" s="9" t="s">
        <v>111</v>
      </c>
      <c r="H7" s="4">
        <v>5</v>
      </c>
      <c r="J7" s="9" t="s">
        <v>85</v>
      </c>
      <c r="K7" s="4">
        <v>2.1</v>
      </c>
    </row>
    <row r="8" spans="1:11" x14ac:dyDescent="0.25">
      <c r="A8" s="9" t="s">
        <v>36</v>
      </c>
      <c r="B8" s="2">
        <v>0.54</v>
      </c>
      <c r="D8" s="9" t="s">
        <v>131</v>
      </c>
      <c r="E8" s="4">
        <v>256</v>
      </c>
      <c r="G8" s="9" t="s">
        <v>28</v>
      </c>
      <c r="H8" s="4">
        <v>5</v>
      </c>
      <c r="J8" s="9" t="s">
        <v>120</v>
      </c>
      <c r="K8" s="4">
        <v>2</v>
      </c>
    </row>
    <row r="9" spans="1:11" x14ac:dyDescent="0.25">
      <c r="A9" s="9" t="s">
        <v>131</v>
      </c>
      <c r="B9" s="4">
        <v>3.4299999999999997</v>
      </c>
      <c r="G9" s="9" t="s">
        <v>27</v>
      </c>
      <c r="H9" s="4">
        <v>5</v>
      </c>
      <c r="J9" s="9" t="s">
        <v>131</v>
      </c>
      <c r="K9" s="4">
        <v>10.600000000000001</v>
      </c>
    </row>
    <row r="10" spans="1:11" x14ac:dyDescent="0.25">
      <c r="G10" s="9" t="s">
        <v>131</v>
      </c>
      <c r="H10" s="4">
        <v>35</v>
      </c>
    </row>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sheetData>
  <autoFilter ref="A115:C225" xr:uid="{DF508595-F5DA-44A6-946F-0D5FB059AD70}">
    <filterColumn colId="1">
      <top10 val="10" filterVal="20"/>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3466F-479D-4565-824B-939C51AAC1F4}">
  <dimension ref="C7:X13"/>
  <sheetViews>
    <sheetView showGridLines="0" zoomScale="90" zoomScaleNormal="90" workbookViewId="0">
      <selection activeCell="G26" sqref="G26"/>
    </sheetView>
  </sheetViews>
  <sheetFormatPr defaultRowHeight="15" x14ac:dyDescent="0.25"/>
  <cols>
    <col min="4" max="4" width="47.7109375" customWidth="1"/>
    <col min="5" max="5" width="9.42578125" customWidth="1"/>
    <col min="6" max="6" width="1.7109375" customWidth="1"/>
    <col min="7" max="7" width="47.85546875" customWidth="1"/>
    <col min="8" max="8" width="10.28515625" customWidth="1"/>
    <col min="9" max="9" width="1.7109375" customWidth="1"/>
    <col min="10" max="10" width="49.5703125" customWidth="1"/>
    <col min="11" max="11" width="9.140625" customWidth="1"/>
    <col min="12" max="12" width="1.7109375" customWidth="1"/>
    <col min="22" max="22" width="1.5703125" bestFit="1" customWidth="1"/>
  </cols>
  <sheetData>
    <row r="7" spans="3:24" x14ac:dyDescent="0.25">
      <c r="D7" s="13"/>
      <c r="E7" s="13"/>
      <c r="F7" s="13"/>
      <c r="G7" s="13"/>
      <c r="H7" s="13"/>
      <c r="I7" s="13"/>
      <c r="J7" s="13"/>
      <c r="K7" s="13"/>
      <c r="L7" s="13"/>
      <c r="M7" s="13"/>
      <c r="N7" s="13"/>
      <c r="O7" s="13"/>
      <c r="P7" s="13"/>
      <c r="Q7" s="13"/>
      <c r="R7" s="13"/>
      <c r="S7" s="13"/>
      <c r="T7" s="13"/>
      <c r="U7" s="13"/>
      <c r="V7" s="13"/>
      <c r="W7" s="13"/>
      <c r="X7" s="13"/>
    </row>
    <row r="8" spans="3:24" ht="15.75" thickBot="1" x14ac:dyDescent="0.3">
      <c r="C8" s="13"/>
      <c r="D8" s="13"/>
      <c r="E8" s="13"/>
      <c r="F8" s="13"/>
      <c r="G8" s="13"/>
      <c r="H8" s="13"/>
      <c r="I8" s="13"/>
      <c r="J8" s="13"/>
      <c r="K8" s="13"/>
      <c r="L8" s="13"/>
      <c r="M8" s="13"/>
      <c r="N8" s="13"/>
      <c r="O8" s="13"/>
      <c r="P8" s="13"/>
      <c r="Q8" s="13"/>
      <c r="R8" s="13"/>
      <c r="S8" s="13"/>
      <c r="T8" s="13"/>
      <c r="U8" s="13"/>
      <c r="V8" s="13"/>
      <c r="W8" s="13"/>
      <c r="X8" s="13"/>
    </row>
    <row r="9" spans="3:24" ht="15.75" thickBot="1" x14ac:dyDescent="0.3">
      <c r="C9" s="13"/>
      <c r="D9" s="19" t="str" cm="1">
        <f t="array" ref="D9:E12">'Product Performance Analysis'!D2:E5</f>
        <v>Product</v>
      </c>
      <c r="E9" s="12" t="str">
        <v>Reviews</v>
      </c>
      <c r="F9" s="13"/>
      <c r="G9" s="6" t="str" cm="1">
        <f t="array" ref="G9:H12">'Product Performance Analysis'!A2:B5</f>
        <v>Product</v>
      </c>
      <c r="H9" s="21" t="str">
        <v>Discount %</v>
      </c>
      <c r="I9" s="13"/>
      <c r="J9" s="6" t="str" cm="1">
        <f t="array" ref="J9:K12">'Product Performance Analysis'!G2:H5</f>
        <v>Product</v>
      </c>
      <c r="K9" s="12" t="str">
        <v>Ratings.</v>
      </c>
      <c r="L9" s="13"/>
      <c r="M9" s="13"/>
      <c r="N9" s="13"/>
      <c r="O9" s="13"/>
      <c r="P9" s="13"/>
      <c r="Q9" s="13"/>
      <c r="R9" s="13"/>
      <c r="S9" s="13"/>
      <c r="T9" s="13"/>
      <c r="U9" s="13"/>
      <c r="V9" s="13"/>
      <c r="W9" s="13"/>
      <c r="X9" s="13"/>
    </row>
    <row r="10" spans="3:24" ht="30" x14ac:dyDescent="0.25">
      <c r="C10" s="13"/>
      <c r="D10" s="20" t="str">
        <v>120W Cordless Vacuum Cleaners Handheld Electric Vacuum Cleaner</v>
      </c>
      <c r="E10" s="12">
        <v>69</v>
      </c>
      <c r="F10" s="13"/>
      <c r="G10" s="20" t="str">
        <v>6 In 1 Bottle Can Opener Multifunctional Easy Opener</v>
      </c>
      <c r="H10" s="12">
        <v>0.64</v>
      </c>
      <c r="I10" s="13"/>
      <c r="J10" s="20" t="str">
        <v>Anti-Skid Absorbent Insulation Coaster  For Home Office</v>
      </c>
      <c r="K10" s="12">
        <v>5</v>
      </c>
      <c r="L10" s="13"/>
      <c r="M10" s="13"/>
      <c r="N10" s="13"/>
      <c r="O10" s="13"/>
      <c r="P10" s="13"/>
      <c r="Q10" s="13"/>
      <c r="R10" s="13"/>
      <c r="S10" s="13"/>
      <c r="T10" s="13"/>
      <c r="U10" s="13"/>
      <c r="V10" s="18" t="s">
        <v>140</v>
      </c>
      <c r="W10" s="13"/>
      <c r="X10" s="13"/>
    </row>
    <row r="11" spans="3:24" ht="30" x14ac:dyDescent="0.25">
      <c r="C11" s="13"/>
      <c r="D11" s="16" t="str">
        <v>137 Pieces Cake Decorating Tool Set Baking Supplies</v>
      </c>
      <c r="E11" s="14">
        <v>55</v>
      </c>
      <c r="F11" s="13"/>
      <c r="G11" s="16" t="str">
        <v>Creative Owl Shape Keychain Black</v>
      </c>
      <c r="H11" s="14">
        <v>0.61</v>
      </c>
      <c r="I11" s="13"/>
      <c r="J11" s="22" t="str">
        <v>Bedroom Simple Floor Hanging Clothes Rack Single Pole Hat Rack - White</v>
      </c>
      <c r="K11" s="14">
        <v>5</v>
      </c>
      <c r="L11" s="13"/>
      <c r="M11" s="13"/>
      <c r="N11" s="13"/>
      <c r="O11" s="13"/>
      <c r="P11" s="13"/>
      <c r="Q11" s="13"/>
      <c r="R11" s="13"/>
      <c r="S11" s="13"/>
      <c r="T11" s="13"/>
      <c r="U11" s="13"/>
      <c r="V11" s="18"/>
      <c r="W11" s="13"/>
      <c r="X11" s="13"/>
    </row>
    <row r="12" spans="3:24" ht="30.75" thickBot="1" x14ac:dyDescent="0.3">
      <c r="C12" s="13"/>
      <c r="D12" s="17" t="str">
        <v>Electronic Digital Display Vernier Caliper</v>
      </c>
      <c r="E12" s="15">
        <v>49</v>
      </c>
      <c r="F12" s="13"/>
      <c r="G12" s="17" t="str">
        <v>LASA FOLDING TABLE SERVING STAND</v>
      </c>
      <c r="H12" s="15">
        <v>0.55000000000000004</v>
      </c>
      <c r="I12" s="13"/>
      <c r="J12" s="23" t="str">
        <v>Classic Black Cat Cotton Hemp Pillow Case For Home Car</v>
      </c>
      <c r="K12" s="15">
        <v>5</v>
      </c>
      <c r="L12" s="13"/>
      <c r="M12" s="13"/>
      <c r="N12" s="13"/>
      <c r="O12" s="13"/>
      <c r="P12" s="13"/>
      <c r="Q12" s="13"/>
      <c r="R12" s="13"/>
      <c r="S12" s="13"/>
      <c r="T12" s="13"/>
      <c r="U12" s="13"/>
      <c r="V12" s="18" t="s">
        <v>140</v>
      </c>
    </row>
    <row r="13" spans="3:24" x14ac:dyDescent="0.25">
      <c r="C13" s="13"/>
      <c r="D13" s="13"/>
      <c r="E13" s="13"/>
      <c r="F13" s="13"/>
      <c r="G13" s="13"/>
      <c r="H13" s="13"/>
      <c r="I13" s="13"/>
      <c r="J13" s="13"/>
      <c r="K13" s="13"/>
      <c r="L13" s="13"/>
      <c r="M13" s="13"/>
      <c r="N13" s="13"/>
      <c r="O13" s="13"/>
      <c r="P13" s="13"/>
      <c r="Q13" s="13"/>
      <c r="R13" s="13"/>
      <c r="S13" s="13"/>
      <c r="T13" s="13"/>
      <c r="U13" s="13"/>
      <c r="V13" s="18" t="s">
        <v>140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Excel_jumia</vt:lpstr>
      <vt:lpstr>Descriptive Analysis</vt:lpstr>
      <vt:lpstr>Trend and Relationship Analysis</vt:lpstr>
      <vt:lpstr>Product Performance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modified xsi:type="dcterms:W3CDTF">2026-03-29T16:31:56Z</dcterms:modified>
</cp:coreProperties>
</file>